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defaultThemeVersion="166925"/>
  <mc:AlternateContent xmlns:mc="http://schemas.openxmlformats.org/markup-compatibility/2006">
    <mc:Choice Requires="x15">
      <x15ac:absPath xmlns:x15ac="http://schemas.microsoft.com/office/spreadsheetml/2010/11/ac" url="D:\Sovol\BigTreeTech7\"/>
    </mc:Choice>
  </mc:AlternateContent>
  <xr:revisionPtr revIDLastSave="0" documentId="13_ncr:1_{11CDC311-7AA6-4030-8E1D-831EE06A99FD}" xr6:coauthVersionLast="47" xr6:coauthVersionMax="47" xr10:uidLastSave="{00000000-0000-0000-0000-000000000000}"/>
  <bookViews>
    <workbookView xWindow="384" yWindow="384" windowWidth="23040" windowHeight="14808" activeTab="3" xr2:uid="{E565C718-763D-4E38-B20B-7FC0F9FB5F2B}"/>
  </bookViews>
  <sheets>
    <sheet name="nozzle&amp;probe_points" sheetId="23" r:id="rId1"/>
    <sheet name="z_tramming_Calc" sheetId="2" r:id="rId2"/>
    <sheet name="Final_Mesh_022625" sheetId="21" r:id="rId3"/>
    <sheet name="Calc_real" sheetId="25" r:id="rId4"/>
  </sheets>
  <functionGroups builtInGroupCount="19"/>
  <definedNames>
    <definedName name="_xlnm._FilterDatabase" localSheetId="0" hidden="1">'nozzle&amp;probe_points'!$B$10:$B$110</definedName>
    <definedName name="_xlnm._FilterDatabase" localSheetId="1" hidden="1">z_tramming_Calc!#REF!</definedName>
    <definedName name="_xlnm.Criteria" localSheetId="1">z_tramming_Calc!#REF!</definedName>
    <definedName name="_xlnm.Extract" localSheetId="0">'nozzle&amp;probe_points'!$M$11</definedName>
    <definedName name="_xlnm.Extract" localSheetId="1">z_tramming_Calc!#REF!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22" i="21" l="1"/>
  <c r="D122" i="21"/>
  <c r="E122" i="21"/>
  <c r="F122" i="21"/>
  <c r="G122" i="21"/>
  <c r="H122" i="21"/>
  <c r="I122" i="21"/>
  <c r="J122" i="21"/>
  <c r="K122" i="21"/>
  <c r="C123" i="21"/>
  <c r="D123" i="21"/>
  <c r="E123" i="21"/>
  <c r="F123" i="21"/>
  <c r="G123" i="21"/>
  <c r="H123" i="21"/>
  <c r="I123" i="21"/>
  <c r="J123" i="21"/>
  <c r="K123" i="21"/>
  <c r="C124" i="21"/>
  <c r="D124" i="21"/>
  <c r="E124" i="21"/>
  <c r="F124" i="21"/>
  <c r="G124" i="21"/>
  <c r="H124" i="21"/>
  <c r="I124" i="21"/>
  <c r="J124" i="21"/>
  <c r="K124" i="21"/>
  <c r="C125" i="21"/>
  <c r="D125" i="21"/>
  <c r="E125" i="21"/>
  <c r="F125" i="21"/>
  <c r="G125" i="21"/>
  <c r="H125" i="21"/>
  <c r="I125" i="21"/>
  <c r="J125" i="21"/>
  <c r="K125" i="21"/>
  <c r="C126" i="21"/>
  <c r="D126" i="21"/>
  <c r="E126" i="21"/>
  <c r="F126" i="21"/>
  <c r="G126" i="21"/>
  <c r="H126" i="21"/>
  <c r="I126" i="21"/>
  <c r="J126" i="21"/>
  <c r="K126" i="21"/>
  <c r="C127" i="21"/>
  <c r="D127" i="21"/>
  <c r="E127" i="21"/>
  <c r="F127" i="21"/>
  <c r="G127" i="21"/>
  <c r="H127" i="21"/>
  <c r="I127" i="21"/>
  <c r="J127" i="21"/>
  <c r="K127" i="21"/>
  <c r="C128" i="21"/>
  <c r="D128" i="21"/>
  <c r="E128" i="21"/>
  <c r="F128" i="21"/>
  <c r="G128" i="21"/>
  <c r="H128" i="21"/>
  <c r="I128" i="21"/>
  <c r="J128" i="21"/>
  <c r="K128" i="21"/>
  <c r="C129" i="21"/>
  <c r="D129" i="21"/>
  <c r="E129" i="21"/>
  <c r="F129" i="21"/>
  <c r="G129" i="21"/>
  <c r="H129" i="21"/>
  <c r="I129" i="21"/>
  <c r="J129" i="21"/>
  <c r="K129" i="21"/>
  <c r="C130" i="21"/>
  <c r="D130" i="21"/>
  <c r="E130" i="21"/>
  <c r="F130" i="21"/>
  <c r="G130" i="21"/>
  <c r="H130" i="21"/>
  <c r="I130" i="21"/>
  <c r="J130" i="21"/>
  <c r="K130" i="21"/>
  <c r="C131" i="21"/>
  <c r="D131" i="21"/>
  <c r="E131" i="21"/>
  <c r="F131" i="21"/>
  <c r="G131" i="21"/>
  <c r="H131" i="21"/>
  <c r="I131" i="21"/>
  <c r="J131" i="21"/>
  <c r="K131" i="21"/>
  <c r="B124" i="21"/>
  <c r="B125" i="21"/>
  <c r="B126" i="21"/>
  <c r="B127" i="21"/>
  <c r="B128" i="21"/>
  <c r="B129" i="21"/>
  <c r="B130" i="21"/>
  <c r="B131" i="21"/>
  <c r="S73" i="25"/>
  <c r="T73" i="25"/>
  <c r="U73" i="25"/>
  <c r="V73" i="25"/>
  <c r="W73" i="25"/>
  <c r="X73" i="25"/>
  <c r="Y73" i="25"/>
  <c r="Z73" i="25"/>
  <c r="R73" i="25"/>
  <c r="Z72" i="25"/>
  <c r="U78" i="25" s="1"/>
  <c r="S72" i="25"/>
  <c r="T72" i="25"/>
  <c r="U72" i="25"/>
  <c r="V72" i="25"/>
  <c r="U82" i="25" s="1"/>
  <c r="W72" i="25"/>
  <c r="X72" i="25"/>
  <c r="V81" i="25" s="1"/>
  <c r="Y72" i="25"/>
  <c r="R72" i="25"/>
  <c r="W79" i="25" s="1"/>
  <c r="W82" i="25"/>
  <c r="W80" i="25"/>
  <c r="U79" i="25"/>
  <c r="T87" i="25"/>
  <c r="U74" i="25"/>
  <c r="B45" i="21"/>
  <c r="B122" i="21" s="1"/>
  <c r="D191" i="25"/>
  <c r="E191" i="25"/>
  <c r="F191" i="25"/>
  <c r="G191" i="25"/>
  <c r="H191" i="25"/>
  <c r="I191" i="25"/>
  <c r="J191" i="25"/>
  <c r="K191" i="25"/>
  <c r="L191" i="25"/>
  <c r="D192" i="25"/>
  <c r="E192" i="25"/>
  <c r="F192" i="25"/>
  <c r="G192" i="25"/>
  <c r="H192" i="25"/>
  <c r="I192" i="25"/>
  <c r="J192" i="25"/>
  <c r="K192" i="25"/>
  <c r="L192" i="25"/>
  <c r="C193" i="25"/>
  <c r="D193" i="25"/>
  <c r="E193" i="25"/>
  <c r="F193" i="25"/>
  <c r="G193" i="25"/>
  <c r="H193" i="25"/>
  <c r="I193" i="25"/>
  <c r="J193" i="25"/>
  <c r="K193" i="25"/>
  <c r="L193" i="25"/>
  <c r="C194" i="25"/>
  <c r="D194" i="25"/>
  <c r="E194" i="25"/>
  <c r="F194" i="25"/>
  <c r="G194" i="25"/>
  <c r="H194" i="25"/>
  <c r="I194" i="25"/>
  <c r="J194" i="25"/>
  <c r="K194" i="25"/>
  <c r="L194" i="25"/>
  <c r="C195" i="25"/>
  <c r="D195" i="25"/>
  <c r="E195" i="25"/>
  <c r="F195" i="25"/>
  <c r="G195" i="25"/>
  <c r="H195" i="25"/>
  <c r="I195" i="25"/>
  <c r="J195" i="25"/>
  <c r="K195" i="25"/>
  <c r="L195" i="25"/>
  <c r="C196" i="25"/>
  <c r="D196" i="25"/>
  <c r="E196" i="25"/>
  <c r="F196" i="25"/>
  <c r="G196" i="25"/>
  <c r="H196" i="25"/>
  <c r="I196" i="25"/>
  <c r="J196" i="25"/>
  <c r="K196" i="25"/>
  <c r="L196" i="25"/>
  <c r="C197" i="25"/>
  <c r="D197" i="25"/>
  <c r="E197" i="25"/>
  <c r="F197" i="25"/>
  <c r="G197" i="25"/>
  <c r="H197" i="25"/>
  <c r="I197" i="25"/>
  <c r="J197" i="25"/>
  <c r="K197" i="25"/>
  <c r="L197" i="25"/>
  <c r="C198" i="25"/>
  <c r="D198" i="25"/>
  <c r="E198" i="25"/>
  <c r="F198" i="25"/>
  <c r="G198" i="25"/>
  <c r="H198" i="25"/>
  <c r="I198" i="25"/>
  <c r="J198" i="25"/>
  <c r="K198" i="25"/>
  <c r="L198" i="25"/>
  <c r="C199" i="25"/>
  <c r="D199" i="25"/>
  <c r="E199" i="25"/>
  <c r="F199" i="25"/>
  <c r="G199" i="25"/>
  <c r="H199" i="25"/>
  <c r="I199" i="25"/>
  <c r="J199" i="25"/>
  <c r="K199" i="25"/>
  <c r="L199" i="25"/>
  <c r="C200" i="25"/>
  <c r="D200" i="25"/>
  <c r="E200" i="25"/>
  <c r="F200" i="25"/>
  <c r="G200" i="25"/>
  <c r="H200" i="25"/>
  <c r="I200" i="25"/>
  <c r="J200" i="25"/>
  <c r="K200" i="25"/>
  <c r="L200" i="25"/>
  <c r="C176" i="25"/>
  <c r="C177" i="25"/>
  <c r="A205" i="25"/>
  <c r="A206" i="25"/>
  <c r="D168" i="25"/>
  <c r="E168" i="25"/>
  <c r="F168" i="25"/>
  <c r="G168" i="25"/>
  <c r="H168" i="25"/>
  <c r="I168" i="25"/>
  <c r="J168" i="25"/>
  <c r="K168" i="25"/>
  <c r="L168" i="25"/>
  <c r="D167" i="25"/>
  <c r="E167" i="25"/>
  <c r="F167" i="25"/>
  <c r="G167" i="25"/>
  <c r="H167" i="25"/>
  <c r="I167" i="25"/>
  <c r="J167" i="25"/>
  <c r="K167" i="25"/>
  <c r="L167" i="25"/>
  <c r="D166" i="25"/>
  <c r="E166" i="25"/>
  <c r="F166" i="25"/>
  <c r="G166" i="25"/>
  <c r="H166" i="25"/>
  <c r="I166" i="25"/>
  <c r="J166" i="25"/>
  <c r="K166" i="25"/>
  <c r="L166" i="25"/>
  <c r="D165" i="25"/>
  <c r="E165" i="25"/>
  <c r="F165" i="25"/>
  <c r="G165" i="25"/>
  <c r="H165" i="25"/>
  <c r="I165" i="25"/>
  <c r="J165" i="25"/>
  <c r="K165" i="25"/>
  <c r="L165" i="25"/>
  <c r="D164" i="25"/>
  <c r="E164" i="25"/>
  <c r="F164" i="25"/>
  <c r="G164" i="25"/>
  <c r="H164" i="25"/>
  <c r="I164" i="25"/>
  <c r="J164" i="25"/>
  <c r="K164" i="25"/>
  <c r="L164" i="25"/>
  <c r="D163" i="25"/>
  <c r="E163" i="25"/>
  <c r="F163" i="25"/>
  <c r="G163" i="25"/>
  <c r="H163" i="25"/>
  <c r="I163" i="25"/>
  <c r="J163" i="25"/>
  <c r="K163" i="25"/>
  <c r="L163" i="25"/>
  <c r="D162" i="25"/>
  <c r="E162" i="25"/>
  <c r="F162" i="25"/>
  <c r="G162" i="25"/>
  <c r="H162" i="25"/>
  <c r="I162" i="25"/>
  <c r="J162" i="25"/>
  <c r="K162" i="25"/>
  <c r="L162" i="25"/>
  <c r="D161" i="25"/>
  <c r="E161" i="25"/>
  <c r="F161" i="25"/>
  <c r="G161" i="25"/>
  <c r="H161" i="25"/>
  <c r="I161" i="25"/>
  <c r="J161" i="25"/>
  <c r="K161" i="25"/>
  <c r="L161" i="25"/>
  <c r="D160" i="25"/>
  <c r="E160" i="25"/>
  <c r="F160" i="25"/>
  <c r="G160" i="25"/>
  <c r="H160" i="25"/>
  <c r="I160" i="25"/>
  <c r="J160" i="25"/>
  <c r="K160" i="25"/>
  <c r="L160" i="25"/>
  <c r="D159" i="25"/>
  <c r="E159" i="25"/>
  <c r="F159" i="25"/>
  <c r="G159" i="25"/>
  <c r="H159" i="25"/>
  <c r="I159" i="25"/>
  <c r="J159" i="25"/>
  <c r="K159" i="25"/>
  <c r="L159" i="25"/>
  <c r="C167" i="25"/>
  <c r="C166" i="25"/>
  <c r="C165" i="25"/>
  <c r="C164" i="25"/>
  <c r="C163" i="25"/>
  <c r="C162" i="25"/>
  <c r="C161" i="25"/>
  <c r="C168" i="25"/>
  <c r="C131" i="25"/>
  <c r="C160" i="25" s="1"/>
  <c r="C130" i="25"/>
  <c r="C191" i="25" s="1"/>
  <c r="G92" i="25"/>
  <c r="H92" i="25"/>
  <c r="I92" i="25"/>
  <c r="J92" i="25"/>
  <c r="K92" i="25"/>
  <c r="F92" i="25"/>
  <c r="G90" i="25"/>
  <c r="H90" i="25"/>
  <c r="I90" i="25"/>
  <c r="J90" i="25"/>
  <c r="K90" i="25"/>
  <c r="F90" i="25"/>
  <c r="C89" i="25"/>
  <c r="C86" i="25"/>
  <c r="C83" i="25"/>
  <c r="R59" i="25"/>
  <c r="S59" i="25"/>
  <c r="T59" i="25"/>
  <c r="R60" i="25"/>
  <c r="S60" i="25"/>
  <c r="T60" i="25"/>
  <c r="Q59" i="25"/>
  <c r="Q60" i="25"/>
  <c r="P59" i="25"/>
  <c r="P60" i="25"/>
  <c r="O59" i="25"/>
  <c r="O60" i="25"/>
  <c r="D78" i="25"/>
  <c r="D79" i="25"/>
  <c r="D80" i="25"/>
  <c r="D77" i="25"/>
  <c r="D73" i="25"/>
  <c r="D74" i="25"/>
  <c r="D75" i="25"/>
  <c r="D72" i="25"/>
  <c r="D68" i="25"/>
  <c r="D69" i="25"/>
  <c r="D70" i="25"/>
  <c r="D67" i="25"/>
  <c r="C78" i="25"/>
  <c r="C79" i="25"/>
  <c r="C80" i="25"/>
  <c r="C77" i="25"/>
  <c r="C73" i="25"/>
  <c r="C74" i="25"/>
  <c r="C75" i="25"/>
  <c r="C72" i="25"/>
  <c r="C68" i="25"/>
  <c r="C69" i="25"/>
  <c r="C70" i="25"/>
  <c r="C67" i="25"/>
  <c r="N59" i="25"/>
  <c r="N60" i="25"/>
  <c r="D60" i="25"/>
  <c r="E60" i="25"/>
  <c r="F60" i="25"/>
  <c r="G60" i="25"/>
  <c r="H60" i="25"/>
  <c r="I60" i="25"/>
  <c r="J60" i="25"/>
  <c r="K60" i="25"/>
  <c r="L60" i="25"/>
  <c r="M60" i="25"/>
  <c r="M59" i="25"/>
  <c r="K59" i="25"/>
  <c r="L59" i="25"/>
  <c r="J59" i="25"/>
  <c r="G59" i="25"/>
  <c r="H59" i="25"/>
  <c r="I59" i="25"/>
  <c r="F59" i="25"/>
  <c r="E59" i="25"/>
  <c r="D59" i="25"/>
  <c r="B60" i="25"/>
  <c r="B59" i="25"/>
  <c r="C54" i="25" s="1"/>
  <c r="O40" i="25"/>
  <c r="O41" i="25"/>
  <c r="O42" i="25"/>
  <c r="O39" i="25"/>
  <c r="M39" i="25"/>
  <c r="M28" i="25"/>
  <c r="M29" i="25"/>
  <c r="M30" i="25"/>
  <c r="M31" i="25"/>
  <c r="M32" i="25"/>
  <c r="M33" i="25"/>
  <c r="M34" i="25"/>
  <c r="M35" i="25"/>
  <c r="M36" i="25"/>
  <c r="M40" i="25"/>
  <c r="M41" i="25"/>
  <c r="M42" i="25"/>
  <c r="C159" i="25" l="1"/>
  <c r="C192" i="25"/>
  <c r="O43" i="25"/>
  <c r="C56" i="25"/>
  <c r="C55" i="25"/>
  <c r="C58" i="25"/>
  <c r="C57" i="25"/>
  <c r="C53" i="25"/>
  <c r="P28" i="25"/>
  <c r="P29" i="25"/>
  <c r="P30" i="25"/>
  <c r="P31" i="25"/>
  <c r="P32" i="25"/>
  <c r="P33" i="25"/>
  <c r="P36" i="25"/>
  <c r="P34" i="25"/>
  <c r="P35" i="25"/>
  <c r="E27" i="25"/>
  <c r="E28" i="25" s="1"/>
  <c r="E29" i="25" s="1"/>
  <c r="E30" i="25" s="1"/>
  <c r="E31" i="25" s="1"/>
  <c r="E32" i="25" s="1"/>
  <c r="E33" i="25" s="1"/>
  <c r="E34" i="25" s="1"/>
  <c r="E35" i="25" s="1"/>
  <c r="D27" i="25"/>
  <c r="D28" i="25" s="1"/>
  <c r="D29" i="25" s="1"/>
  <c r="D30" i="25" s="1"/>
  <c r="D31" i="25" s="1"/>
  <c r="D32" i="25" s="1"/>
  <c r="D33" i="25" s="1"/>
  <c r="D34" i="25" s="1"/>
  <c r="D35" i="25" s="1"/>
  <c r="C27" i="25"/>
  <c r="C28" i="25" s="1"/>
  <c r="C29" i="25" s="1"/>
  <c r="C30" i="25" s="1"/>
  <c r="C31" i="25" s="1"/>
  <c r="C32" i="25" s="1"/>
  <c r="C33" i="25" s="1"/>
  <c r="C34" i="25" s="1"/>
  <c r="C35" i="25" s="1"/>
  <c r="A27" i="25"/>
  <c r="A28" i="25" s="1"/>
  <c r="A29" i="25" s="1"/>
  <c r="A30" i="25" s="1"/>
  <c r="A31" i="25" s="1"/>
  <c r="A32" i="25" s="1"/>
  <c r="A33" i="25" s="1"/>
  <c r="A34" i="25" s="1"/>
  <c r="A35" i="25" s="1"/>
  <c r="B26" i="25"/>
  <c r="B27" i="25" s="1"/>
  <c r="B28" i="25" s="1"/>
  <c r="B29" i="25" s="1"/>
  <c r="B30" i="25" s="1"/>
  <c r="B31" i="25" s="1"/>
  <c r="B32" i="25" s="1"/>
  <c r="B33" i="25" s="1"/>
  <c r="B34" i="25" s="1"/>
  <c r="B35" i="25" s="1"/>
  <c r="F84" i="23"/>
  <c r="F85" i="23"/>
  <c r="F86" i="23"/>
  <c r="F87" i="23"/>
  <c r="F58" i="23"/>
  <c r="F59" i="23"/>
  <c r="F35" i="23"/>
  <c r="F36" i="23"/>
  <c r="F37" i="23"/>
  <c r="F38" i="23"/>
  <c r="F39" i="23"/>
  <c r="F40" i="23"/>
  <c r="F32" i="23"/>
  <c r="F23" i="23"/>
  <c r="F24" i="23"/>
  <c r="F25" i="23"/>
  <c r="F26" i="23"/>
  <c r="F27" i="23"/>
  <c r="F28" i="23"/>
  <c r="F29" i="23"/>
  <c r="F101" i="23"/>
  <c r="F110" i="23" s="1"/>
  <c r="F91" i="23"/>
  <c r="F93" i="23" s="1"/>
  <c r="F81" i="23"/>
  <c r="F88" i="23" s="1"/>
  <c r="F71" i="23"/>
  <c r="F77" i="23" s="1"/>
  <c r="F61" i="23"/>
  <c r="F63" i="23" s="1"/>
  <c r="F51" i="23"/>
  <c r="F60" i="23" s="1"/>
  <c r="F41" i="23"/>
  <c r="F44" i="23" s="1"/>
  <c r="F31" i="23"/>
  <c r="F33" i="23" s="1"/>
  <c r="F21" i="23"/>
  <c r="F30" i="23" s="1"/>
  <c r="B48" i="2"/>
  <c r="B47" i="2"/>
  <c r="M133" i="21"/>
  <c r="A140" i="21"/>
  <c r="J12" i="23"/>
  <c r="J13" i="23" s="1"/>
  <c r="J14" i="23" s="1"/>
  <c r="J15" i="23" s="1"/>
  <c r="J16" i="23" s="1"/>
  <c r="J17" i="23" s="1"/>
  <c r="J18" i="23" s="1"/>
  <c r="J19" i="23" s="1"/>
  <c r="J20" i="23" s="1"/>
  <c r="J21" i="23" s="1"/>
  <c r="M10" i="23"/>
  <c r="N10" i="23" s="1"/>
  <c r="O10" i="23" s="1"/>
  <c r="P10" i="23" s="1"/>
  <c r="Q10" i="23" s="1"/>
  <c r="R10" i="23" s="1"/>
  <c r="S10" i="23" s="1"/>
  <c r="T10" i="23" s="1"/>
  <c r="U10" i="23" s="1"/>
  <c r="B46" i="21"/>
  <c r="B123" i="21" s="1"/>
  <c r="N45" i="21"/>
  <c r="K12" i="23"/>
  <c r="K13" i="23" s="1"/>
  <c r="K14" i="23" s="1"/>
  <c r="K15" i="23" s="1"/>
  <c r="K16" i="23" s="1"/>
  <c r="K17" i="23" s="1"/>
  <c r="K18" i="23" s="1"/>
  <c r="K19" i="23" s="1"/>
  <c r="K20" i="23" s="1"/>
  <c r="K21" i="23" s="1"/>
  <c r="M11" i="23"/>
  <c r="N11" i="23" s="1"/>
  <c r="O11" i="23" s="1"/>
  <c r="P11" i="23" s="1"/>
  <c r="Q11" i="23" s="1"/>
  <c r="R11" i="23" s="1"/>
  <c r="S11" i="23" s="1"/>
  <c r="T11" i="23" s="1"/>
  <c r="U11" i="23" s="1"/>
  <c r="C80" i="21"/>
  <c r="F79" i="21"/>
  <c r="K79" i="21" s="1"/>
  <c r="E79" i="21"/>
  <c r="J79" i="21" s="1"/>
  <c r="F78" i="21"/>
  <c r="K78" i="21" s="1"/>
  <c r="E78" i="21"/>
  <c r="H78" i="21" s="1"/>
  <c r="F77" i="21"/>
  <c r="K77" i="21" s="1"/>
  <c r="E77" i="21"/>
  <c r="J77" i="21" s="1"/>
  <c r="F76" i="21"/>
  <c r="K76" i="21" s="1"/>
  <c r="E76" i="21"/>
  <c r="J76" i="21" s="1"/>
  <c r="F75" i="21"/>
  <c r="K75" i="21" s="1"/>
  <c r="E75" i="21"/>
  <c r="N75" i="21" s="1"/>
  <c r="F74" i="21"/>
  <c r="K74" i="21" s="1"/>
  <c r="E74" i="21"/>
  <c r="J74" i="21" s="1"/>
  <c r="F73" i="21"/>
  <c r="K73" i="21" s="1"/>
  <c r="E73" i="21"/>
  <c r="N73" i="21" s="1"/>
  <c r="F72" i="21"/>
  <c r="K72" i="21" s="1"/>
  <c r="E72" i="21"/>
  <c r="J72" i="21" s="1"/>
  <c r="F71" i="21"/>
  <c r="K71" i="21" s="1"/>
  <c r="E71" i="21"/>
  <c r="J71" i="21" s="1"/>
  <c r="F70" i="21"/>
  <c r="K70" i="21" s="1"/>
  <c r="E70" i="21"/>
  <c r="J70" i="21" s="1"/>
  <c r="F69" i="21"/>
  <c r="D66" i="21"/>
  <c r="H66" i="21" s="1"/>
  <c r="I66" i="21" s="1"/>
  <c r="N59" i="21"/>
  <c r="O59" i="21" s="1"/>
  <c r="K56" i="21"/>
  <c r="J56" i="21"/>
  <c r="I56" i="21"/>
  <c r="H56" i="21"/>
  <c r="G56" i="21"/>
  <c r="F56" i="21"/>
  <c r="E56" i="21"/>
  <c r="D56" i="21"/>
  <c r="C56" i="21"/>
  <c r="N54" i="21"/>
  <c r="L54" i="21"/>
  <c r="M54" i="21" s="1"/>
  <c r="P79" i="21" s="1"/>
  <c r="N53" i="21"/>
  <c r="L53" i="21"/>
  <c r="M53" i="21" s="1"/>
  <c r="P78" i="21" s="1"/>
  <c r="N52" i="21"/>
  <c r="L52" i="21"/>
  <c r="M52" i="21" s="1"/>
  <c r="P77" i="21" s="1"/>
  <c r="N51" i="21"/>
  <c r="L51" i="21"/>
  <c r="M51" i="21" s="1"/>
  <c r="M76" i="21" s="1"/>
  <c r="N50" i="21"/>
  <c r="L50" i="21"/>
  <c r="M50" i="21" s="1"/>
  <c r="N49" i="21"/>
  <c r="L49" i="21"/>
  <c r="M49" i="21" s="1"/>
  <c r="N48" i="21"/>
  <c r="L48" i="21"/>
  <c r="M48" i="21" s="1"/>
  <c r="N47" i="21"/>
  <c r="L47" i="21"/>
  <c r="M47" i="21" s="1"/>
  <c r="P72" i="21" s="1"/>
  <c r="C36" i="21"/>
  <c r="D74" i="21" s="1"/>
  <c r="C34" i="21"/>
  <c r="C35" i="21" s="1"/>
  <c r="D32" i="21"/>
  <c r="E32" i="21" s="1"/>
  <c r="D31" i="21"/>
  <c r="E31" i="21" s="1"/>
  <c r="F23" i="21"/>
  <c r="E23" i="21"/>
  <c r="A138" i="21" l="1"/>
  <c r="A141" i="21"/>
  <c r="A137" i="21"/>
  <c r="A143" i="21"/>
  <c r="A136" i="21"/>
  <c r="A139" i="21"/>
  <c r="F56" i="23"/>
  <c r="F55" i="23"/>
  <c r="F109" i="23"/>
  <c r="F80" i="23"/>
  <c r="F105" i="23"/>
  <c r="F92" i="23"/>
  <c r="F98" i="23"/>
  <c r="F104" i="23"/>
  <c r="F70" i="23"/>
  <c r="F108" i="23"/>
  <c r="F107" i="23"/>
  <c r="F65" i="23"/>
  <c r="F76" i="23"/>
  <c r="F103" i="23"/>
  <c r="F54" i="23"/>
  <c r="F100" i="23"/>
  <c r="F75" i="23"/>
  <c r="F57" i="23"/>
  <c r="F83" i="23"/>
  <c r="F99" i="23"/>
  <c r="F106" i="23"/>
  <c r="F78" i="23"/>
  <c r="F74" i="23"/>
  <c r="F102" i="23"/>
  <c r="F68" i="23"/>
  <c r="F66" i="23"/>
  <c r="F73" i="23"/>
  <c r="F82" i="23"/>
  <c r="F53" i="23"/>
  <c r="F62" i="23"/>
  <c r="F69" i="23"/>
  <c r="F67" i="23"/>
  <c r="F43" i="23"/>
  <c r="F90" i="23"/>
  <c r="F52" i="23"/>
  <c r="F89" i="23"/>
  <c r="C60" i="25"/>
  <c r="C59" i="25"/>
  <c r="F50" i="23"/>
  <c r="F64" i="23"/>
  <c r="F97" i="23"/>
  <c r="F34" i="23"/>
  <c r="F42" i="23"/>
  <c r="F49" i="23"/>
  <c r="F96" i="23"/>
  <c r="F48" i="23"/>
  <c r="F72" i="23"/>
  <c r="F95" i="23"/>
  <c r="F47" i="23"/>
  <c r="F94" i="23"/>
  <c r="F46" i="23"/>
  <c r="F79" i="23"/>
  <c r="F22" i="23"/>
  <c r="F45" i="23"/>
  <c r="A142" i="21"/>
  <c r="A134" i="21"/>
  <c r="D36" i="21"/>
  <c r="D38" i="21" s="1"/>
  <c r="A135" i="21"/>
  <c r="N76" i="21"/>
  <c r="B56" i="21"/>
  <c r="C60" i="21"/>
  <c r="L46" i="21"/>
  <c r="M46" i="21" s="1"/>
  <c r="P71" i="21" s="1"/>
  <c r="D78" i="21"/>
  <c r="D79" i="21"/>
  <c r="N46" i="21"/>
  <c r="L76" i="21"/>
  <c r="L45" i="21"/>
  <c r="M45" i="21" s="1"/>
  <c r="P70" i="21" s="1"/>
  <c r="D72" i="21"/>
  <c r="L74" i="21"/>
  <c r="N74" i="21"/>
  <c r="D75" i="21"/>
  <c r="C58" i="21"/>
  <c r="C57" i="21"/>
  <c r="C59" i="21"/>
  <c r="D76" i="21"/>
  <c r="C37" i="21"/>
  <c r="D70" i="21"/>
  <c r="D73" i="21"/>
  <c r="D77" i="21"/>
  <c r="D71" i="21"/>
  <c r="P73" i="21"/>
  <c r="M73" i="21"/>
  <c r="P74" i="21"/>
  <c r="M74" i="21"/>
  <c r="P75" i="21"/>
  <c r="M75" i="21"/>
  <c r="D34" i="21"/>
  <c r="J75" i="21"/>
  <c r="J73" i="21"/>
  <c r="O75" i="21"/>
  <c r="O76" i="21"/>
  <c r="P76" i="21"/>
  <c r="O74" i="21"/>
  <c r="L73" i="21"/>
  <c r="C38" i="21"/>
  <c r="H70" i="21"/>
  <c r="G80" i="21" s="1"/>
  <c r="G81" i="21" s="1"/>
  <c r="E66" i="21"/>
  <c r="L75" i="21"/>
  <c r="I78" i="21"/>
  <c r="J78" i="21"/>
  <c r="I70" i="21"/>
  <c r="O73" i="21"/>
  <c r="L47" i="2"/>
  <c r="P96" i="2" s="1"/>
  <c r="L48" i="2"/>
  <c r="P97" i="2" s="1"/>
  <c r="L49" i="2"/>
  <c r="P98" i="2" s="1"/>
  <c r="L50" i="2"/>
  <c r="M99" i="2" s="1"/>
  <c r="L51" i="2"/>
  <c r="M100" i="2" s="1"/>
  <c r="L52" i="2"/>
  <c r="P101" i="2" s="1"/>
  <c r="L53" i="2"/>
  <c r="P102" i="2" s="1"/>
  <c r="L54" i="2"/>
  <c r="P103" i="2" s="1"/>
  <c r="L55" i="2"/>
  <c r="P104" i="2" s="1"/>
  <c r="L56" i="2"/>
  <c r="P105" i="2" s="1"/>
  <c r="C106" i="2"/>
  <c r="O100" i="2"/>
  <c r="O101" i="2"/>
  <c r="O102" i="2"/>
  <c r="O99" i="2"/>
  <c r="N61" i="2"/>
  <c r="O61" i="2" s="1"/>
  <c r="D92" i="2"/>
  <c r="H92" i="2" s="1"/>
  <c r="D78" i="2"/>
  <c r="E78" i="2" s="1"/>
  <c r="D77" i="2"/>
  <c r="E77" i="2" s="1"/>
  <c r="E72" i="2"/>
  <c r="C62" i="2"/>
  <c r="C61" i="2"/>
  <c r="P100" i="2" l="1"/>
  <c r="P99" i="2"/>
  <c r="M101" i="2"/>
  <c r="E36" i="21"/>
  <c r="F36" i="21" s="1"/>
  <c r="D37" i="21"/>
  <c r="C61" i="21"/>
  <c r="L55" i="21"/>
  <c r="P68" i="21" s="1"/>
  <c r="K68" i="21"/>
  <c r="K80" i="21" s="1"/>
  <c r="E89" i="21" s="1"/>
  <c r="D35" i="21"/>
  <c r="E34" i="21"/>
  <c r="O68" i="21"/>
  <c r="O80" i="21"/>
  <c r="I68" i="21"/>
  <c r="I80" i="21" s="1"/>
  <c r="M68" i="21"/>
  <c r="M80" i="21"/>
  <c r="M102" i="2"/>
  <c r="E92" i="2"/>
  <c r="O106" i="2"/>
  <c r="O107" i="2" s="1"/>
  <c r="C63" i="2"/>
  <c r="E37" i="21" l="1"/>
  <c r="E38" i="21"/>
  <c r="L57" i="21"/>
  <c r="K81" i="21"/>
  <c r="E90" i="21" s="1"/>
  <c r="K82" i="21"/>
  <c r="I82" i="21"/>
  <c r="I81" i="21"/>
  <c r="D90" i="21" s="1"/>
  <c r="D89" i="21"/>
  <c r="G89" i="21"/>
  <c r="O82" i="21"/>
  <c r="O81" i="21"/>
  <c r="G90" i="21" s="1"/>
  <c r="F38" i="21"/>
  <c r="G36" i="21"/>
  <c r="F37" i="21"/>
  <c r="M81" i="21"/>
  <c r="F90" i="21" s="1"/>
  <c r="M82" i="21"/>
  <c r="F89" i="21"/>
  <c r="F34" i="21"/>
  <c r="E35" i="21"/>
  <c r="F105" i="2"/>
  <c r="K105" i="2" s="1"/>
  <c r="F104" i="2"/>
  <c r="K104" i="2" s="1"/>
  <c r="F103" i="2"/>
  <c r="K103" i="2" s="1"/>
  <c r="F102" i="2"/>
  <c r="K102" i="2" s="1"/>
  <c r="F101" i="2"/>
  <c r="K101" i="2" s="1"/>
  <c r="F100" i="2"/>
  <c r="K100" i="2" s="1"/>
  <c r="F99" i="2"/>
  <c r="K99" i="2" s="1"/>
  <c r="F98" i="2"/>
  <c r="K98" i="2" s="1"/>
  <c r="F97" i="2"/>
  <c r="K97" i="2" s="1"/>
  <c r="F96" i="2"/>
  <c r="K96" i="2" s="1"/>
  <c r="F95" i="2"/>
  <c r="E97" i="2"/>
  <c r="J97" i="2" s="1"/>
  <c r="E98" i="2"/>
  <c r="J98" i="2" s="1"/>
  <c r="E99" i="2"/>
  <c r="L99" i="2" s="1"/>
  <c r="E100" i="2"/>
  <c r="N100" i="2" s="1"/>
  <c r="E101" i="2"/>
  <c r="L101" i="2" s="1"/>
  <c r="E102" i="2"/>
  <c r="L102" i="2" s="1"/>
  <c r="E103" i="2"/>
  <c r="J103" i="2" s="1"/>
  <c r="E104" i="2"/>
  <c r="E105" i="2"/>
  <c r="J105" i="2" s="1"/>
  <c r="E96" i="2"/>
  <c r="F86" i="2"/>
  <c r="H86" i="2"/>
  <c r="J86" i="2"/>
  <c r="J87" i="2" s="1"/>
  <c r="L86" i="2"/>
  <c r="D86" i="2"/>
  <c r="C87" i="2"/>
  <c r="B86" i="2"/>
  <c r="D85" i="2"/>
  <c r="E85" i="2"/>
  <c r="F85" i="2"/>
  <c r="G85" i="2"/>
  <c r="H85" i="2"/>
  <c r="I85" i="2"/>
  <c r="J85" i="2"/>
  <c r="K85" i="2"/>
  <c r="L85" i="2"/>
  <c r="C85" i="2"/>
  <c r="F72" i="2"/>
  <c r="N48" i="2"/>
  <c r="N49" i="2"/>
  <c r="N50" i="2"/>
  <c r="N51" i="2"/>
  <c r="N52" i="2"/>
  <c r="N53" i="2"/>
  <c r="N54" i="2"/>
  <c r="N55" i="2"/>
  <c r="N56" i="2"/>
  <c r="N47" i="2"/>
  <c r="C58" i="2"/>
  <c r="D58" i="2"/>
  <c r="E58" i="2"/>
  <c r="F58" i="2"/>
  <c r="G58" i="2"/>
  <c r="H58" i="2"/>
  <c r="I58" i="2"/>
  <c r="J58" i="2"/>
  <c r="K58" i="2"/>
  <c r="C39" i="2"/>
  <c r="M48" i="2"/>
  <c r="M49" i="2"/>
  <c r="M50" i="2"/>
  <c r="M51" i="2"/>
  <c r="M52" i="2"/>
  <c r="M53" i="2"/>
  <c r="M54" i="2"/>
  <c r="M55" i="2"/>
  <c r="M56" i="2"/>
  <c r="D98" i="2"/>
  <c r="D99" i="2"/>
  <c r="D100" i="2"/>
  <c r="D101" i="2"/>
  <c r="D102" i="2"/>
  <c r="D103" i="2"/>
  <c r="D104" i="2"/>
  <c r="D105" i="2"/>
  <c r="D97" i="2"/>
  <c r="D96" i="2"/>
  <c r="D88" i="2"/>
  <c r="E88" i="2"/>
  <c r="F88" i="2"/>
  <c r="G88" i="2"/>
  <c r="H88" i="2"/>
  <c r="I88" i="2"/>
  <c r="J88" i="2"/>
  <c r="K88" i="2"/>
  <c r="L88" i="2"/>
  <c r="D84" i="2"/>
  <c r="E84" i="2"/>
  <c r="F84" i="2"/>
  <c r="G84" i="2"/>
  <c r="H84" i="2"/>
  <c r="I84" i="2"/>
  <c r="J84" i="2"/>
  <c r="K84" i="2"/>
  <c r="L84" i="2"/>
  <c r="C84" i="2"/>
  <c r="D82" i="2"/>
  <c r="E82" i="2"/>
  <c r="F82" i="2"/>
  <c r="G82" i="2"/>
  <c r="H82" i="2"/>
  <c r="I82" i="2"/>
  <c r="J82" i="2"/>
  <c r="K82" i="2"/>
  <c r="L82" i="2"/>
  <c r="C82" i="2"/>
  <c r="C60" i="2"/>
  <c r="C59" i="2"/>
  <c r="C64" i="2" s="1"/>
  <c r="C38" i="2"/>
  <c r="C25" i="2"/>
  <c r="C24" i="2"/>
  <c r="J102" i="2" l="1"/>
  <c r="J100" i="2"/>
  <c r="J101" i="2"/>
  <c r="H96" i="2"/>
  <c r="J96" i="2"/>
  <c r="J99" i="2"/>
  <c r="F35" i="21"/>
  <c r="G34" i="21"/>
  <c r="H36" i="21"/>
  <c r="G38" i="21"/>
  <c r="G37" i="21"/>
  <c r="J104" i="2"/>
  <c r="H104" i="2"/>
  <c r="G106" i="2" s="1"/>
  <c r="G107" i="2" s="1"/>
  <c r="I96" i="2"/>
  <c r="M47" i="2"/>
  <c r="I92" i="2"/>
  <c r="L100" i="2"/>
  <c r="N101" i="2"/>
  <c r="L57" i="2"/>
  <c r="P94" i="2" s="1"/>
  <c r="P106" i="2" s="1"/>
  <c r="P107" i="2" s="1"/>
  <c r="I104" i="2"/>
  <c r="N99" i="2"/>
  <c r="N102" i="2"/>
  <c r="D25" i="2"/>
  <c r="A28" i="2" s="1"/>
  <c r="A29" i="2" s="1"/>
  <c r="A30" i="2" s="1"/>
  <c r="A31" i="2" s="1"/>
  <c r="A32" i="2" s="1"/>
  <c r="A33" i="2" s="1"/>
  <c r="A34" i="2" s="1"/>
  <c r="A35" i="2" s="1"/>
  <c r="D24" i="2"/>
  <c r="C26" i="2" s="1"/>
  <c r="D26" i="2" s="1"/>
  <c r="E26" i="2" s="1"/>
  <c r="F26" i="2" s="1"/>
  <c r="G26" i="2" s="1"/>
  <c r="H26" i="2" s="1"/>
  <c r="I26" i="2" s="1"/>
  <c r="J26" i="2" s="1"/>
  <c r="H38" i="21" l="1"/>
  <c r="H37" i="21"/>
  <c r="I36" i="21"/>
  <c r="H34" i="21"/>
  <c r="G35" i="21"/>
  <c r="M106" i="2"/>
  <c r="I94" i="2"/>
  <c r="I106" i="2" s="1"/>
  <c r="I107" i="2" s="1"/>
  <c r="L59" i="2"/>
  <c r="P108" i="2"/>
  <c r="O94" i="2"/>
  <c r="O108" i="2" s="1"/>
  <c r="M94" i="2"/>
  <c r="I34" i="21" l="1"/>
  <c r="H35" i="21"/>
  <c r="I37" i="21"/>
  <c r="J36" i="21"/>
  <c r="I38" i="21"/>
  <c r="M107" i="2"/>
  <c r="F116" i="2" s="1"/>
  <c r="G115" i="2"/>
  <c r="G116" i="2"/>
  <c r="F115" i="2"/>
  <c r="D115" i="2"/>
  <c r="M108" i="2"/>
  <c r="K94" i="2"/>
  <c r="K106" i="2" s="1"/>
  <c r="K107" i="2" s="1"/>
  <c r="D116" i="2"/>
  <c r="I108" i="2"/>
  <c r="J37" i="21" l="1"/>
  <c r="K36" i="21"/>
  <c r="J38" i="21"/>
  <c r="J34" i="21"/>
  <c r="I35" i="21"/>
  <c r="E115" i="2"/>
  <c r="E116" i="2"/>
  <c r="K108" i="2"/>
  <c r="J35" i="21" l="1"/>
  <c r="K34" i="21"/>
  <c r="K37" i="21"/>
  <c r="L36" i="21"/>
  <c r="K38" i="21"/>
  <c r="K35" i="21" l="1"/>
  <c r="L34" i="21"/>
  <c r="L35" i="21" s="1"/>
  <c r="L37" i="21"/>
  <c r="L38" i="21"/>
</calcChain>
</file>

<file path=xl/sharedStrings.xml><?xml version="1.0" encoding="utf-8"?>
<sst xmlns="http://schemas.openxmlformats.org/spreadsheetml/2006/main" count="446" uniqueCount="255">
  <si>
    <t>y points at</t>
  </si>
  <si>
    <t>x points at</t>
  </si>
  <si>
    <t xml:space="preserve">range </t>
  </si>
  <si>
    <t>increment</t>
  </si>
  <si>
    <t>Y position</t>
  </si>
  <si>
    <t>x position (down)</t>
  </si>
  <si>
    <t>SD=</t>
  </si>
  <si>
    <t>STDEV</t>
  </si>
  <si>
    <t>VAR</t>
  </si>
  <si>
    <t>Probe X_offset</t>
  </si>
  <si>
    <t>mm</t>
  </si>
  <si>
    <t>tramming pts nozzle positions</t>
  </si>
  <si>
    <t>tramming pts probe positions</t>
  </si>
  <si>
    <t>X bed mesh probe positions</t>
  </si>
  <si>
    <t>Y bed mesh probe positions</t>
  </si>
  <si>
    <t>X nozzle position</t>
  </si>
  <si>
    <t>Y nozzle position</t>
  </si>
  <si>
    <t>X adj. probe position from L screw</t>
  </si>
  <si>
    <t>two pt slope</t>
  </si>
  <si>
    <t>calculated</t>
  </si>
  <si>
    <t>mid Y row X pts</t>
  </si>
  <si>
    <t>Slopes-&gt;</t>
  </si>
  <si>
    <t>2 pt original</t>
  </si>
  <si>
    <t>Mid Y row only; all X pts</t>
  </si>
  <si>
    <t>back left</t>
  </si>
  <si>
    <t>back right</t>
  </si>
  <si>
    <t>minutes to move</t>
  </si>
  <si>
    <t>Hardware Measurements</t>
  </si>
  <si>
    <t>calculated diff. on Right Screw</t>
  </si>
  <si>
    <t>calculated minutes</t>
  </si>
  <si>
    <t>front left</t>
  </si>
  <si>
    <t>XY spread</t>
  </si>
  <si>
    <t>Z_Tramming Summary</t>
  </si>
  <si>
    <t>centers distance  between Z screws</t>
  </si>
  <si>
    <t>mid y 67 to</t>
  </si>
  <si>
    <t>front right</t>
  </si>
  <si>
    <t>4Y mid rows averaged.</t>
  </si>
  <si>
    <t>Z values at  y(6)</t>
  </si>
  <si>
    <t xml:space="preserve"> mid  4 Y rows; all X points aver</t>
  </si>
  <si>
    <t>x-&gt;</t>
  </si>
  <si>
    <t>Y DOWN</t>
  </si>
  <si>
    <t>calculated diff. at Right Screw; mm</t>
  </si>
  <si>
    <t>mid 4 Y; mid 4 X average</t>
  </si>
  <si>
    <t>or at scew is</t>
  </si>
  <si>
    <t>x slopes</t>
  </si>
  <si>
    <t>variance</t>
  </si>
  <si>
    <t>averages</t>
  </si>
  <si>
    <t>TO LOWER RIGHT SIDE RAIL TURN CCW</t>
  </si>
  <si>
    <t>Left screw center to nozzle tip at 0</t>
  </si>
  <si>
    <t>#*#</t>
  </si>
  <si>
    <t>Y bed max</t>
  </si>
  <si>
    <t>X bed max</t>
  </si>
  <si>
    <t>x points (15)</t>
  </si>
  <si>
    <t>y points(15)</t>
  </si>
  <si>
    <t>BICUBIC 4,4 interpolation, tension 0.5.</t>
  </si>
  <si>
    <t>Probe Y_offset</t>
  </si>
  <si>
    <t>FINAL bicubic</t>
  </si>
  <si>
    <t>FINAL</t>
  </si>
  <si>
    <t xml:space="preserve">#*# </t>
  </si>
  <si>
    <t>max</t>
  </si>
  <si>
    <t>min</t>
  </si>
  <si>
    <t>range</t>
  </si>
  <si>
    <t>true slope trigger to change z tilt in range 5-169.5 if diff=0.04</t>
  </si>
  <si>
    <t>2 pt original@ screw</t>
  </si>
  <si>
    <t>2 pt old</t>
  </si>
  <si>
    <t>.04*</t>
  </si>
  <si>
    <t>aver. Slope</t>
  </si>
  <si>
    <t>Mid Y row 119.2; all X pts</t>
  </si>
  <si>
    <t>deviation</t>
  </si>
  <si>
    <t>all X slopes over all Y</t>
  </si>
  <si>
    <t xml:space="preserve"> mid  4 Y rows diff; all X points diff from slope</t>
  </si>
  <si>
    <t>mid 4 Y; mid 4 X aver</t>
  </si>
  <si>
    <t>points</t>
  </si>
  <si>
    <t>=</t>
  </si>
  <si>
    <t>AXIS SET UP INFO</t>
  </si>
  <si>
    <t>Z TILT CALCULATIONS</t>
  </si>
  <si>
    <t>BED MESH DATA</t>
  </si>
  <si>
    <t>x_count</t>
  </si>
  <si>
    <t>Z TILT/TRAMMING CALCULATIONS</t>
  </si>
  <si>
    <t>AVER</t>
  </si>
  <si>
    <t>Probe Points square matrix only</t>
  </si>
  <si>
    <t>BACK LEFT</t>
  </si>
  <si>
    <t>FRONT LEFT</t>
  </si>
  <si>
    <t>BACK RIGHT</t>
  </si>
  <si>
    <t>FRONT RIGHT</t>
  </si>
  <si>
    <t xml:space="preserve">X bed min from [bed_mesh] </t>
  </si>
  <si>
    <t xml:space="preserve">Y bed min from [bed_mesh] </t>
  </si>
  <si>
    <t xml:space="preserve">X bed max from [bed_mesh] </t>
  </si>
  <si>
    <t xml:space="preserve">Y bed max from [bed_mesh] </t>
  </si>
  <si>
    <t>X ---&gt;</t>
  </si>
  <si>
    <t>Mid Y row 119.2; all X pts slope</t>
  </si>
  <si>
    <t>average</t>
  </si>
  <si>
    <t>New points added here</t>
  </si>
  <si>
    <t>PROBE</t>
  </si>
  <si>
    <t>z_offset</t>
  </si>
  <si>
    <t>x offset</t>
  </si>
  <si>
    <t>y offset</t>
  </si>
  <si>
    <t>tool x</t>
  </si>
  <si>
    <t>tool y</t>
  </si>
  <si>
    <t>probe x</t>
  </si>
  <si>
    <t>probe y</t>
  </si>
  <si>
    <t xml:space="preserve"> </t>
  </si>
  <si>
    <t>nozzle</t>
  </si>
  <si>
    <t>nozzle -&gt;</t>
  </si>
  <si>
    <t xml:space="preserve">z offset </t>
  </si>
  <si>
    <t>#*#        -0.003541,  -0.062083,  -0.100000,  -0.086250,   -0.104167,  -0.093750,  -0.104167,  -0.090833,  -0.091197, -0.121328</t>
  </si>
  <si>
    <t>#*#        0.000833,  0.002500,  -0.045833,  -0.044167,   -0.076250,  -0.063333,  -0.085417,  -0.072917,  -0.082965, -0.106429</t>
  </si>
  <si>
    <t>#*#        0.009583,  -0.000417,  -0.027917,  -0.017917,   -0.055417,  -0.045417,  -0.070000,  -0.059583,  -0.058069, -0.114033</t>
  </si>
  <si>
    <t>#*#        0.025833,  0.020833,  -0.005000,  -0.000833,   -0.046667,  -0.041250,  -0.071667,  -0.062083,  -0.068342, -0.131807</t>
  </si>
  <si>
    <t>#*#        0.034583,  0.020417,  -0.007500,  -0.006667,   -0.060833,  -0.053333,  -0.072500,  -0.066667,  -0.073722, -0.134635</t>
  </si>
  <si>
    <t>#*#        0.028750,  0.021667,  -0.011667,  -0.006667,   -0.047500,  -0.046250,  -0.072917,  -0.074167,  -0.084936, -0.135257</t>
  </si>
  <si>
    <t>#*#        0.023750,  -0.017500,  -0.032500,  -0.015417,   -0.052083,  -0.052500,  -0.086250,  -0.085833,  -0.121982, -0.151337</t>
  </si>
  <si>
    <t>#*#        -0.070127,  -0.067500,  -0.068750,  -0.040417,   -0.067500,  -0.067083,  -0.093333,  -0.098750,  -0.164866, -0.176247</t>
  </si>
  <si>
    <t>#*#        -0.082590,  -0.050417,  -0.050000,  -0.017500,   -0.067083,  -0.070000,  -0.095000,  -0.107500,  -0.163996, -0.175377</t>
  </si>
  <si>
    <t>bed mesh 0225/2024</t>
  </si>
  <si>
    <t>nozzle X</t>
  </si>
  <si>
    <t>probe Y</t>
  </si>
  <si>
    <t>probe X</t>
  </si>
  <si>
    <t>95% confidence</t>
  </si>
  <si>
    <t>not useful</t>
  </si>
  <si>
    <t>nozzle Y</t>
  </si>
  <si>
    <t>PROBE is @</t>
  </si>
  <si>
    <t>corrected probe Y</t>
  </si>
  <si>
    <t>G1 X193 Y27</t>
  </si>
  <si>
    <t>G1 X220 Y7</t>
  </si>
  <si>
    <t>RIGHT FRONT</t>
  </si>
  <si>
    <t>CENTER</t>
  </si>
  <si>
    <t>RIGHT REAR</t>
  </si>
  <si>
    <t>G1 X220 Y200</t>
  </si>
  <si>
    <t>NOZZLE EQUIVALENT</t>
  </si>
  <si>
    <t>G1 FOR PROBE IN R</t>
  </si>
  <si>
    <t>G1 X193, Y117</t>
  </si>
  <si>
    <t>G1110 Y110</t>
  </si>
  <si>
    <t>G1 X220 Y98</t>
  </si>
  <si>
    <t>220, 97</t>
  </si>
  <si>
    <t>220, 200</t>
  </si>
  <si>
    <t>110, 110</t>
  </si>
  <si>
    <t>220, 0</t>
  </si>
  <si>
    <t>G1 X193 Y225</t>
  </si>
  <si>
    <t>G1  X85 Y135</t>
  </si>
  <si>
    <t>CENTER RIGHT MID Y98</t>
  </si>
  <si>
    <t>NOZZLES SET</t>
  </si>
  <si>
    <t>IS PROBE POSITION</t>
  </si>
  <si>
    <t>tool Y true</t>
  </si>
  <si>
    <t>G1 X210 Y7</t>
  </si>
  <si>
    <t>G1 183 Y27</t>
  </si>
  <si>
    <t>G1 X183 Y225</t>
  </si>
  <si>
    <t>210, 205</t>
  </si>
  <si>
    <t>G1 X210 Y205</t>
  </si>
  <si>
    <t>Z OFFSET</t>
  </si>
  <si>
    <t>NOZZLE paper test</t>
  </si>
  <si>
    <t>PROBE value</t>
  </si>
  <si>
    <t>altered?</t>
  </si>
  <si>
    <t>true altered</t>
  </si>
  <si>
    <t>G1 X183 Y32</t>
  </si>
  <si>
    <t>BUT 12 IS NOT AT 0 IT IS 5 MM HIGHER</t>
  </si>
  <si>
    <t>G1 X210 Y27</t>
  </si>
  <si>
    <t>210, 0</t>
  </si>
  <si>
    <t>220,  0</t>
  </si>
  <si>
    <t>210, 12</t>
  </si>
  <si>
    <t>add paper to probe</t>
  </si>
  <si>
    <t>offset minus PROBE</t>
  </si>
  <si>
    <t>orig bed mesh value</t>
  </si>
  <si>
    <t>Clear difference between probe value and z offset value, but seems like it just added paper test to z 0ffset.</t>
  </si>
  <si>
    <t>MID</t>
  </si>
  <si>
    <t>G1 X183 X119</t>
  </si>
  <si>
    <t>210, 119</t>
  </si>
  <si>
    <t>ERROR</t>
  </si>
  <si>
    <t>HOME @ 60</t>
  </si>
  <si>
    <t>X193 Y225 @ 60</t>
  </si>
  <si>
    <t>HOME E120B60</t>
  </si>
  <si>
    <t>X193 Y225 @ E120B60</t>
  </si>
  <si>
    <t>X183 Y225 @ 60</t>
  </si>
  <si>
    <t>HOME @ E195B60</t>
  </si>
  <si>
    <t>X193 Y225 @ E195B60</t>
  </si>
  <si>
    <t>X183 Y225 @ E195B60</t>
  </si>
  <si>
    <t>X183 Y225 @ E120B60</t>
  </si>
  <si>
    <t xml:space="preserve"> HOME @Rm T</t>
  </si>
  <si>
    <t>X193 Y225 @ Rm T</t>
  </si>
  <si>
    <t xml:space="preserve"> X183 Y226 @ Rm T</t>
  </si>
  <si>
    <t>diff from RT</t>
  </si>
  <si>
    <t>diff from 120/60</t>
  </si>
  <si>
    <t>X183 Y32 @ Rm T</t>
  </si>
  <si>
    <t>X0 Y32 @ Rm T</t>
  </si>
  <si>
    <t>X0 Y225 @ Rm T</t>
  </si>
  <si>
    <t>X183 Y32 @ E120/B60</t>
  </si>
  <si>
    <t>X0 Y32 @ E120/B60 Rm T</t>
  </si>
  <si>
    <t>X0 Y225 @ E120/B60Rm T</t>
  </si>
  <si>
    <t>?????</t>
  </si>
  <si>
    <t>Why now 0.10 lower</t>
  </si>
  <si>
    <t>PROBE CALIBRATE METHOD @ E120B60</t>
  </si>
  <si>
    <t>PROBE CALIBRATE METHOD E120B60</t>
  </si>
  <si>
    <t xml:space="preserve"> X183 Y225 @ Rm T</t>
  </si>
  <si>
    <t>dif from home</t>
  </si>
  <si>
    <t>27, 205</t>
  </si>
  <si>
    <t>210, 5</t>
  </si>
  <si>
    <t>27, 5</t>
  </si>
  <si>
    <t>THESE VALUES USED PROBE_CALIBRATE at E120B60</t>
  </si>
  <si>
    <t>X0 Y225 @ E120/B60</t>
  </si>
  <si>
    <t>200, 205</t>
  </si>
  <si>
    <t>Back Left</t>
  </si>
  <si>
    <t>Front Left</t>
  </si>
  <si>
    <t>Front Right</t>
  </si>
  <si>
    <t>Back Right</t>
  </si>
  <si>
    <t>Center Home</t>
  </si>
  <si>
    <t>TEST PROBE AND OFFSET DIFFERENCES,  at  E_RTB60</t>
  </si>
  <si>
    <t>at 1.5</t>
  </si>
  <si>
    <t>offset-probe</t>
  </si>
  <si>
    <t>If we ignore the wild 1.56 value this suggests the optimum z_offset is 1.507</t>
  </si>
  <si>
    <r>
      <t xml:space="preserve">Effect of Temperature on Bed Mesh; 20 </t>
    </r>
    <r>
      <rPr>
        <b/>
        <sz val="11"/>
        <color theme="1"/>
        <rFont val="Calibri"/>
        <family val="2"/>
      </rPr>
      <t>°C minus E120B60</t>
    </r>
  </si>
  <si>
    <t>probe height</t>
  </si>
  <si>
    <t>paper test value</t>
  </si>
  <si>
    <t>X0 Y32 @ E120/B60</t>
  </si>
  <si>
    <t>Multiple probe tests at various temperatures; G28 followed by PROBE cmd with normal 3 tries</t>
  </si>
  <si>
    <t xml:space="preserve">Temperature Effect on bed mesh at </t>
  </si>
  <si>
    <r>
      <t xml:space="preserve">BED MESH @ 17.5 </t>
    </r>
    <r>
      <rPr>
        <b/>
        <sz val="11"/>
        <color theme="1"/>
        <rFont val="Calibri"/>
        <family val="2"/>
      </rPr>
      <t>°C</t>
    </r>
    <r>
      <rPr>
        <b/>
        <sz val="11"/>
        <color theme="1"/>
        <rFont val="Calibri"/>
        <family val="2"/>
        <scheme val="minor"/>
      </rPr>
      <t xml:space="preserve"> from BED_MESH_OUTPUT PGP=0</t>
    </r>
  </si>
  <si>
    <r>
      <t xml:space="preserve">BED MESH @ E120B60 </t>
    </r>
    <r>
      <rPr>
        <b/>
        <sz val="11"/>
        <rFont val="Calibri"/>
        <family val="2"/>
      </rPr>
      <t>°C</t>
    </r>
    <r>
      <rPr>
        <b/>
        <sz val="11"/>
        <rFont val="Calibri"/>
        <family val="2"/>
        <scheme val="minor"/>
      </rPr>
      <t xml:space="preserve"> from BED_MESH_OUTPUT PGP=0</t>
    </r>
  </si>
  <si>
    <t>DIFFERENCE OF AVERAGED E120B60 MINUS ORIG.</t>
  </si>
  <si>
    <r>
      <t>Y</t>
    </r>
    <r>
      <rPr>
        <b/>
        <sz val="11"/>
        <color theme="1"/>
        <rFont val="Calibri"/>
        <family val="2"/>
      </rPr>
      <t>↓; X→</t>
    </r>
  </si>
  <si>
    <t>screw mount positions</t>
  </si>
  <si>
    <t>x from 0</t>
  </si>
  <si>
    <t>y from 0</t>
  </si>
  <si>
    <t>y from 220</t>
  </si>
  <si>
    <t>x from 220</t>
  </si>
  <si>
    <t>mounting bed screws</t>
  </si>
  <si>
    <r>
      <t xml:space="preserve">BED MESH @ E195B60 </t>
    </r>
    <r>
      <rPr>
        <b/>
        <sz val="11"/>
        <rFont val="Calibri"/>
        <family val="2"/>
      </rPr>
      <t>°C</t>
    </r>
    <r>
      <rPr>
        <b/>
        <sz val="11"/>
        <rFont val="Calibri"/>
        <family val="2"/>
        <scheme val="minor"/>
      </rPr>
      <t xml:space="preserve"> from BED_MESH_OUTPUT PGP=0</t>
    </r>
  </si>
  <si>
    <t>Y↓; X→</t>
  </si>
  <si>
    <t>Y↑; X→</t>
  </si>
  <si>
    <t>E195B60 DIFFERENCE FROM AVERAGED E120B60</t>
  </si>
  <si>
    <t xml:space="preserve">X0 Y225 @ Rm </t>
  </si>
  <si>
    <t>X183 Y119</t>
  </si>
  <si>
    <t>X0 Y32 @ E120B60</t>
  </si>
  <si>
    <t>X0 Y225 @ E120B60</t>
  </si>
  <si>
    <t>x85 y135 @ E120B60</t>
  </si>
  <si>
    <t>IF NOZZLE</t>
  </si>
  <si>
    <t>NOZZLE SETTINGS</t>
  </si>
  <si>
    <t>bed delta Z from Home</t>
  </si>
  <si>
    <t>dif</t>
  </si>
  <si>
    <t>-27, 27</t>
  </si>
  <si>
    <t>-27, 25</t>
  </si>
  <si>
    <t>183, 225</t>
  </si>
  <si>
    <t>85, 135</t>
  </si>
  <si>
    <t>0, 27</t>
  </si>
  <si>
    <t>27, 0</t>
  </si>
  <si>
    <t>X,Y</t>
  </si>
  <si>
    <t>X0, Y25</t>
  </si>
  <si>
    <t>0, 25</t>
  </si>
  <si>
    <r>
      <t xml:space="preserve">BED MESH DATA @ E120/B60  120 </t>
    </r>
    <r>
      <rPr>
        <b/>
        <sz val="11"/>
        <color theme="1"/>
        <rFont val="Calibri"/>
        <family val="2"/>
      </rPr>
      <t>°</t>
    </r>
    <r>
      <rPr>
        <b/>
        <sz val="9.9"/>
        <color theme="1"/>
        <rFont val="Calibri"/>
        <family val="2"/>
      </rPr>
      <t>C Extruder; Bed 60°C</t>
    </r>
  </si>
  <si>
    <t>original mesh; no shims added (actually already one under right front)</t>
  </si>
  <si>
    <t>#*#        0.025726,  -0.074167,  -0.126667,  -0.110000,   -0.129583,  -0.108750,  -0.127083,  -0.121250,  -0.102763, -0.130811</t>
  </si>
  <si>
    <t>END Z TILT CALCULATIONS</t>
  </si>
  <si>
    <t>NEW, FINAL BED MESH</t>
  </si>
  <si>
    <t>For z tilt/tramming changes, place printer.cfg bed mesh string here, then use Data|Convert to Columns, to generate cell data, which is copied to original at B45 or manually altered at B108</t>
  </si>
  <si>
    <t>START MANUAL BED MESH CORRECTIONS</t>
  </si>
  <si>
    <t>CORRECTION MATRIX TO A44 MATRIX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</si>
</sst>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0.0000"/>
    <numFmt numFmtId="165" formatCode="0.00000"/>
    <numFmt numFmtId="166" formatCode="0.000000"/>
    <numFmt numFmtId="167" formatCode="0.000"/>
    <numFmt numFmtId="168" formatCode="#,##0.0000"/>
  </numFmts>
  <fonts count="11" x14ac:knownFonts="1">
    <font>
      <sz val="11"/>
      <color theme="1"/>
      <name val="Calibri"/>
      <family val="2"/>
      <scheme val="minor"/>
    </font>
    <font>
      <sz val="10.45"/>
      <color rgb="FFFFFFFF"/>
      <name val="Courier New"/>
      <family val="3"/>
    </font>
    <font>
      <sz val="8"/>
      <name val="Calibri"/>
      <family val="2"/>
      <scheme val="minor"/>
    </font>
    <font>
      <b/>
      <sz val="11"/>
      <color theme="1"/>
      <name val="Calibri"/>
      <family val="2"/>
      <scheme val="minor"/>
    </font>
    <font>
      <b/>
      <sz val="11"/>
      <name val="Calibri"/>
      <family val="2"/>
      <scheme val="minor"/>
    </font>
    <font>
      <b/>
      <sz val="11"/>
      <color theme="1"/>
      <name val="Calibri"/>
      <family val="2"/>
    </font>
    <font>
      <b/>
      <sz val="9.9"/>
      <color theme="1"/>
      <name val="Calibri"/>
      <family val="2"/>
    </font>
    <font>
      <sz val="10.45"/>
      <name val="Courier New"/>
      <family val="3"/>
    </font>
    <font>
      <sz val="11"/>
      <color rgb="FFC00000"/>
      <name val="Calibri"/>
      <family val="2"/>
      <scheme val="minor"/>
    </font>
    <font>
      <b/>
      <sz val="8"/>
      <color rgb="FF767676"/>
      <name val="Arial"/>
      <family val="2"/>
    </font>
    <font>
      <b/>
      <sz val="11"/>
      <name val="Calibri"/>
      <family val="2"/>
    </font>
  </fonts>
  <fills count="4">
    <fill>
      <patternFill patternType="none"/>
    </fill>
    <fill>
      <patternFill patternType="gray125"/>
    </fill>
    <fill>
      <patternFill patternType="solid">
        <fgColor rgb="FFFFFF00"/>
        <bgColor indexed="64"/>
      </patternFill>
    </fill>
    <fill>
      <patternFill patternType="solid">
        <fgColor rgb="FF92D050"/>
        <bgColor indexed="64"/>
      </patternFill>
    </fill>
  </fills>
  <borders count="1">
    <border>
      <left/>
      <right/>
      <top/>
      <bottom/>
      <diagonal/>
    </border>
  </borders>
  <cellStyleXfs count="1">
    <xf numFmtId="0" fontId="0" fillId="0" borderId="0"/>
  </cellStyleXfs>
  <cellXfs count="32">
    <xf numFmtId="0" fontId="0" fillId="0" borderId="0" xfId="0"/>
    <xf numFmtId="164" fontId="0" fillId="0" borderId="0" xfId="0" applyNumberFormat="1"/>
    <xf numFmtId="0" fontId="1" fillId="0" borderId="0" xfId="0" applyFont="1" applyAlignment="1">
      <alignment horizontal="left" vertical="center" indent="1"/>
    </xf>
    <xf numFmtId="18" fontId="1" fillId="0" borderId="0" xfId="0" applyNumberFormat="1" applyFont="1" applyAlignment="1">
      <alignment horizontal="left" vertical="center" indent="1"/>
    </xf>
    <xf numFmtId="0" fontId="3" fillId="0" borderId="0" xfId="0" applyFont="1"/>
    <xf numFmtId="2" fontId="3" fillId="0" borderId="0" xfId="0" applyNumberFormat="1" applyFont="1"/>
    <xf numFmtId="2" fontId="0" fillId="0" borderId="0" xfId="0" applyNumberFormat="1"/>
    <xf numFmtId="0" fontId="0" fillId="0" borderId="0" xfId="0" applyAlignment="1">
      <alignment horizontal="center" wrapText="1"/>
    </xf>
    <xf numFmtId="0" fontId="3" fillId="0" borderId="0" xfId="0" applyFont="1" applyAlignment="1">
      <alignment horizontal="center"/>
    </xf>
    <xf numFmtId="165" fontId="0" fillId="0" borderId="0" xfId="0" applyNumberFormat="1"/>
    <xf numFmtId="166" fontId="0" fillId="0" borderId="0" xfId="0" applyNumberFormat="1"/>
    <xf numFmtId="166" fontId="0" fillId="0" borderId="0" xfId="0" applyNumberFormat="1" applyAlignment="1">
      <alignment horizontal="center" wrapText="1"/>
    </xf>
    <xf numFmtId="166" fontId="3" fillId="0" borderId="0" xfId="0" applyNumberFormat="1" applyFont="1"/>
    <xf numFmtId="167" fontId="0" fillId="0" borderId="0" xfId="0" applyNumberFormat="1"/>
    <xf numFmtId="0" fontId="7" fillId="0" borderId="0" xfId="0" applyFont="1" applyAlignment="1">
      <alignment horizontal="left" vertical="center" indent="1"/>
    </xf>
    <xf numFmtId="0" fontId="8" fillId="0" borderId="0" xfId="0" applyFont="1"/>
    <xf numFmtId="22" fontId="0" fillId="0" borderId="0" xfId="0" applyNumberFormat="1"/>
    <xf numFmtId="3" fontId="0" fillId="0" borderId="0" xfId="0" applyNumberFormat="1"/>
    <xf numFmtId="0" fontId="9" fillId="0" borderId="0" xfId="0" applyFont="1"/>
    <xf numFmtId="168" fontId="0" fillId="0" borderId="0" xfId="0" applyNumberFormat="1"/>
    <xf numFmtId="0" fontId="4" fillId="0" borderId="0" xfId="0" applyFont="1"/>
    <xf numFmtId="0" fontId="3" fillId="0" borderId="0" xfId="0" applyFont="1" applyAlignment="1">
      <alignment horizontal="right"/>
    </xf>
    <xf numFmtId="0" fontId="0" fillId="0" borderId="0" xfId="0" quotePrefix="1"/>
    <xf numFmtId="3" fontId="0" fillId="0" borderId="0" xfId="0" quotePrefix="1" applyNumberFormat="1"/>
    <xf numFmtId="0" fontId="3" fillId="2" borderId="0" xfId="0" applyFont="1" applyFill="1"/>
    <xf numFmtId="0" fontId="0" fillId="2" borderId="0" xfId="0" applyFill="1"/>
    <xf numFmtId="166" fontId="0" fillId="2" borderId="0" xfId="0" applyNumberFormat="1" applyFill="1"/>
    <xf numFmtId="2" fontId="3" fillId="3" borderId="0" xfId="0" applyNumberFormat="1" applyFont="1" applyFill="1"/>
    <xf numFmtId="166" fontId="0" fillId="3" borderId="0" xfId="0" applyNumberFormat="1" applyFill="1"/>
    <xf numFmtId="0" fontId="0" fillId="3" borderId="0" xfId="0" applyFill="1"/>
    <xf numFmtId="0" fontId="3" fillId="0" borderId="0" xfId="0" applyFont="1" applyAlignment="1">
      <alignment horizontal="left"/>
    </xf>
    <xf numFmtId="0" fontId="3" fillId="0" borderId="0" xfId="0" applyFont="1" applyAlignment="1">
      <alignment horizontal="center"/>
    </xf>
  </cellXfs>
  <cellStyles count="1">
    <cellStyle name="Normal" xfId="0" builtinId="0"/>
  </cellStyles>
  <dxfs count="0"/>
  <tableStyles count="1" defaultTableStyle="TableStyleMedium2" defaultPivotStyle="PivotStyleLight16">
    <tableStyle name="Invisible" pivot="0" table="0" count="0" xr9:uid="{CE274600-956E-45A6-B2B9-3F62F726040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No</a:t>
            </a:r>
            <a:r>
              <a:rPr lang="en-US" b="1" baseline="0"/>
              <a:t> added shims</a:t>
            </a:r>
          </a:p>
        </c:rich>
      </c:tx>
      <c:overlay val="0"/>
      <c:spPr>
        <a:noFill/>
        <a:ln>
          <a:noFill/>
        </a:ln>
        <a:effectLst/>
      </c:spPr>
    </c:title>
    <c:autoTitleDeleted val="0"/>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surface3DChart>
        <c:wireframe val="0"/>
        <c:ser>
          <c:idx val="0"/>
          <c:order val="0"/>
          <c:tx>
            <c:strRef>
              <c:f>z_tramming_Calc!$A$27</c:f>
              <c:strCache>
                <c:ptCount val="1"/>
                <c:pt idx="0">
                  <c:v>12.00</c:v>
                </c:pt>
              </c:strCache>
            </c:strRef>
          </c:tx>
          <c:spPr>
            <a:solidFill>
              <a:schemeClr val="accent1"/>
            </a:solidFill>
            <a:ln/>
            <a:effectLst/>
            <a:sp3d/>
          </c:spPr>
          <c:cat>
            <c:numRef>
              <c:f>z_tramming_Calc!$B$26:$K$26</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z_tramming_Calc!$B$27:$K$27</c:f>
              <c:numCache>
                <c:formatCode>General</c:formatCode>
                <c:ptCount val="10"/>
                <c:pt idx="0">
                  <c:v>2.3E-2</c:v>
                </c:pt>
                <c:pt idx="1">
                  <c:v>-5.6000000000000001E-2</c:v>
                </c:pt>
                <c:pt idx="2">
                  <c:v>-0.06</c:v>
                </c:pt>
                <c:pt idx="3">
                  <c:v>-5.8500000000000003E-2</c:v>
                </c:pt>
                <c:pt idx="4">
                  <c:v>-7.5249999999999997E-2</c:v>
                </c:pt>
                <c:pt idx="5">
                  <c:v>-8.8999999999999996E-2</c:v>
                </c:pt>
                <c:pt idx="6">
                  <c:v>-9.7000000000000003E-2</c:v>
                </c:pt>
                <c:pt idx="7">
                  <c:v>-9.5250000000000001E-2</c:v>
                </c:pt>
                <c:pt idx="8">
                  <c:v>-0.10249999999999999</c:v>
                </c:pt>
                <c:pt idx="9">
                  <c:v>-0.10825</c:v>
                </c:pt>
              </c:numCache>
            </c:numRef>
          </c:val>
          <c:extLst>
            <c:ext xmlns:c16="http://schemas.microsoft.com/office/drawing/2014/chart" uri="{C3380CC4-5D6E-409C-BE32-E72D297353CC}">
              <c16:uniqueId val="{00000000-E9A8-49F1-A023-EBCB53FAF751}"/>
            </c:ext>
          </c:extLst>
        </c:ser>
        <c:ser>
          <c:idx val="1"/>
          <c:order val="1"/>
          <c:tx>
            <c:strRef>
              <c:f>z_tramming_Calc!$A$28</c:f>
              <c:strCache>
                <c:ptCount val="1"/>
                <c:pt idx="0">
                  <c:v>33.44</c:v>
                </c:pt>
              </c:strCache>
            </c:strRef>
          </c:tx>
          <c:spPr>
            <a:solidFill>
              <a:schemeClr val="accent2"/>
            </a:solidFill>
            <a:ln/>
            <a:effectLst/>
            <a:sp3d/>
          </c:spPr>
          <c:cat>
            <c:numRef>
              <c:f>z_tramming_Calc!$B$26:$K$26</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z_tramming_Calc!$B$28:$K$28</c:f>
              <c:numCache>
                <c:formatCode>General</c:formatCode>
                <c:ptCount val="10"/>
                <c:pt idx="0">
                  <c:v>6.4000000000000001E-2</c:v>
                </c:pt>
                <c:pt idx="1">
                  <c:v>-1.2E-2</c:v>
                </c:pt>
                <c:pt idx="2">
                  <c:v>-3.7499999999999999E-3</c:v>
                </c:pt>
                <c:pt idx="3">
                  <c:v>-1.2500000000000001E-2</c:v>
                </c:pt>
                <c:pt idx="4">
                  <c:v>-2.4500000000000001E-2</c:v>
                </c:pt>
                <c:pt idx="5">
                  <c:v>-3.5000000000000003E-2</c:v>
                </c:pt>
                <c:pt idx="6">
                  <c:v>-4.4749999999999998E-2</c:v>
                </c:pt>
                <c:pt idx="7">
                  <c:v>-5.3749999999999999E-2</c:v>
                </c:pt>
                <c:pt idx="8">
                  <c:v>-6.3250000000000001E-2</c:v>
                </c:pt>
                <c:pt idx="9">
                  <c:v>-7.2749999999999995E-2</c:v>
                </c:pt>
              </c:numCache>
            </c:numRef>
          </c:val>
          <c:extLst>
            <c:ext xmlns:c16="http://schemas.microsoft.com/office/drawing/2014/chart" uri="{C3380CC4-5D6E-409C-BE32-E72D297353CC}">
              <c16:uniqueId val="{00000001-E9A8-49F1-A023-EBCB53FAF751}"/>
            </c:ext>
          </c:extLst>
        </c:ser>
        <c:ser>
          <c:idx val="2"/>
          <c:order val="2"/>
          <c:tx>
            <c:strRef>
              <c:f>z_tramming_Calc!$A$29</c:f>
              <c:strCache>
                <c:ptCount val="1"/>
                <c:pt idx="0">
                  <c:v>54.89</c:v>
                </c:pt>
              </c:strCache>
            </c:strRef>
          </c:tx>
          <c:spPr>
            <a:solidFill>
              <a:schemeClr val="accent3"/>
            </a:solidFill>
            <a:ln/>
            <a:effectLst/>
            <a:sp3d/>
          </c:spPr>
          <c:cat>
            <c:numRef>
              <c:f>z_tramming_Calc!$B$26:$K$26</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z_tramming_Calc!$B$29:$K$29</c:f>
              <c:numCache>
                <c:formatCode>General</c:formatCode>
                <c:ptCount val="10"/>
                <c:pt idx="0">
                  <c:v>5.9499999999999997E-2</c:v>
                </c:pt>
                <c:pt idx="1">
                  <c:v>-5.7499999999999999E-3</c:v>
                </c:pt>
                <c:pt idx="2">
                  <c:v>-5.0000000000000001E-4</c:v>
                </c:pt>
                <c:pt idx="3">
                  <c:v>-8.7500000000000008E-3</c:v>
                </c:pt>
                <c:pt idx="4">
                  <c:v>-7.2500000000000004E-3</c:v>
                </c:pt>
                <c:pt idx="5">
                  <c:v>-3.3250000000000002E-2</c:v>
                </c:pt>
                <c:pt idx="6">
                  <c:v>-3.8249999999999999E-2</c:v>
                </c:pt>
                <c:pt idx="7">
                  <c:v>-5.1249999999999997E-2</c:v>
                </c:pt>
                <c:pt idx="8">
                  <c:v>-5.6500000000000002E-2</c:v>
                </c:pt>
                <c:pt idx="9">
                  <c:v>-7.9500000000000001E-2</c:v>
                </c:pt>
              </c:numCache>
            </c:numRef>
          </c:val>
          <c:extLst>
            <c:ext xmlns:c16="http://schemas.microsoft.com/office/drawing/2014/chart" uri="{C3380CC4-5D6E-409C-BE32-E72D297353CC}">
              <c16:uniqueId val="{00000002-E9A8-49F1-A023-EBCB53FAF751}"/>
            </c:ext>
          </c:extLst>
        </c:ser>
        <c:ser>
          <c:idx val="3"/>
          <c:order val="3"/>
          <c:tx>
            <c:strRef>
              <c:f>z_tramming_Calc!$A$30</c:f>
              <c:strCache>
                <c:ptCount val="1"/>
                <c:pt idx="0">
                  <c:v>76.33</c:v>
                </c:pt>
              </c:strCache>
            </c:strRef>
          </c:tx>
          <c:spPr>
            <a:solidFill>
              <a:schemeClr val="accent4"/>
            </a:solidFill>
            <a:ln/>
            <a:effectLst/>
            <a:sp3d/>
          </c:spPr>
          <c:cat>
            <c:numRef>
              <c:f>z_tramming_Calc!$B$26:$K$26</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z_tramming_Calc!$B$30:$K$30</c:f>
              <c:numCache>
                <c:formatCode>General</c:formatCode>
                <c:ptCount val="10"/>
                <c:pt idx="0">
                  <c:v>7.3999999999999996E-2</c:v>
                </c:pt>
                <c:pt idx="1">
                  <c:v>9.7500000000000003E-2</c:v>
                </c:pt>
                <c:pt idx="2">
                  <c:v>5.3249999999999999E-2</c:v>
                </c:pt>
                <c:pt idx="3">
                  <c:v>9.35E-2</c:v>
                </c:pt>
                <c:pt idx="4">
                  <c:v>3.85E-2</c:v>
                </c:pt>
                <c:pt idx="5">
                  <c:v>5.8000000000000003E-2</c:v>
                </c:pt>
                <c:pt idx="6">
                  <c:v>1.2749999999999999E-2</c:v>
                </c:pt>
                <c:pt idx="7">
                  <c:v>2.6499999999999999E-2</c:v>
                </c:pt>
                <c:pt idx="8">
                  <c:v>-3.0000000000000001E-3</c:v>
                </c:pt>
                <c:pt idx="9">
                  <c:v>1E-3</c:v>
                </c:pt>
              </c:numCache>
            </c:numRef>
          </c:val>
          <c:extLst>
            <c:ext xmlns:c16="http://schemas.microsoft.com/office/drawing/2014/chart" uri="{C3380CC4-5D6E-409C-BE32-E72D297353CC}">
              <c16:uniqueId val="{00000003-E9A8-49F1-A023-EBCB53FAF751}"/>
            </c:ext>
          </c:extLst>
        </c:ser>
        <c:ser>
          <c:idx val="4"/>
          <c:order val="4"/>
          <c:tx>
            <c:strRef>
              <c:f>z_tramming_Calc!$A$31</c:f>
              <c:strCache>
                <c:ptCount val="1"/>
                <c:pt idx="0">
                  <c:v>97.78</c:v>
                </c:pt>
              </c:strCache>
            </c:strRef>
          </c:tx>
          <c:spPr>
            <a:solidFill>
              <a:schemeClr val="accent5"/>
            </a:solidFill>
            <a:ln/>
            <a:effectLst/>
            <a:sp3d/>
          </c:spPr>
          <c:cat>
            <c:numRef>
              <c:f>z_tramming_Calc!$B$26:$K$26</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z_tramming_Calc!$B$31:$K$31</c:f>
              <c:numCache>
                <c:formatCode>General</c:formatCode>
                <c:ptCount val="10"/>
                <c:pt idx="0">
                  <c:v>8.0500000000000002E-2</c:v>
                </c:pt>
                <c:pt idx="1">
                  <c:v>8.1500000000000003E-2</c:v>
                </c:pt>
                <c:pt idx="2">
                  <c:v>5.1249999999999997E-2</c:v>
                </c:pt>
                <c:pt idx="3">
                  <c:v>6.6750000000000004E-2</c:v>
                </c:pt>
                <c:pt idx="4">
                  <c:v>2.35E-2</c:v>
                </c:pt>
                <c:pt idx="5">
                  <c:v>4.3499999999999997E-2</c:v>
                </c:pt>
                <c:pt idx="6">
                  <c:v>1.2500000000000001E-2</c:v>
                </c:pt>
                <c:pt idx="7">
                  <c:v>3.3500000000000002E-2</c:v>
                </c:pt>
                <c:pt idx="8">
                  <c:v>-1.6E-2</c:v>
                </c:pt>
                <c:pt idx="9">
                  <c:v>8.2500000000000004E-3</c:v>
                </c:pt>
              </c:numCache>
            </c:numRef>
          </c:val>
          <c:extLst>
            <c:ext xmlns:c16="http://schemas.microsoft.com/office/drawing/2014/chart" uri="{C3380CC4-5D6E-409C-BE32-E72D297353CC}">
              <c16:uniqueId val="{00000004-E9A8-49F1-A023-EBCB53FAF751}"/>
            </c:ext>
          </c:extLst>
        </c:ser>
        <c:ser>
          <c:idx val="5"/>
          <c:order val="5"/>
          <c:tx>
            <c:strRef>
              <c:f>z_tramming_Calc!$A$32</c:f>
              <c:strCache>
                <c:ptCount val="1"/>
                <c:pt idx="0">
                  <c:v>119.22</c:v>
                </c:pt>
              </c:strCache>
            </c:strRef>
          </c:tx>
          <c:spPr>
            <a:solidFill>
              <a:schemeClr val="accent6"/>
            </a:solidFill>
            <a:ln/>
            <a:effectLst/>
            <a:sp3d/>
          </c:spPr>
          <c:cat>
            <c:numRef>
              <c:f>z_tramming_Calc!$B$26:$K$26</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z_tramming_Calc!$B$32:$K$32</c:f>
              <c:numCache>
                <c:formatCode>General</c:formatCode>
                <c:ptCount val="10"/>
                <c:pt idx="0">
                  <c:v>9.6750000000000003E-2</c:v>
                </c:pt>
                <c:pt idx="1">
                  <c:v>0.11125</c:v>
                </c:pt>
                <c:pt idx="2">
                  <c:v>6.3E-2</c:v>
                </c:pt>
                <c:pt idx="3">
                  <c:v>9.8500000000000004E-2</c:v>
                </c:pt>
                <c:pt idx="4">
                  <c:v>4.1250000000000002E-2</c:v>
                </c:pt>
                <c:pt idx="5">
                  <c:v>6.0249999999999998E-2</c:v>
                </c:pt>
                <c:pt idx="6">
                  <c:v>1.575E-2</c:v>
                </c:pt>
                <c:pt idx="7">
                  <c:v>4.5999999999999999E-2</c:v>
                </c:pt>
                <c:pt idx="8">
                  <c:v>-1.0500000000000001E-2</c:v>
                </c:pt>
                <c:pt idx="9">
                  <c:v>1.8749999999999999E-2</c:v>
                </c:pt>
              </c:numCache>
            </c:numRef>
          </c:val>
          <c:extLst>
            <c:ext xmlns:c16="http://schemas.microsoft.com/office/drawing/2014/chart" uri="{C3380CC4-5D6E-409C-BE32-E72D297353CC}">
              <c16:uniqueId val="{00000005-E9A8-49F1-A023-EBCB53FAF751}"/>
            </c:ext>
          </c:extLst>
        </c:ser>
        <c:ser>
          <c:idx val="6"/>
          <c:order val="6"/>
          <c:tx>
            <c:strRef>
              <c:f>z_tramming_Calc!$A$33</c:f>
              <c:strCache>
                <c:ptCount val="1"/>
                <c:pt idx="0">
                  <c:v>140.67</c:v>
                </c:pt>
              </c:strCache>
            </c:strRef>
          </c:tx>
          <c:spPr>
            <a:solidFill>
              <a:schemeClr val="accent1">
                <a:lumMod val="60000"/>
              </a:schemeClr>
            </a:solidFill>
            <a:ln/>
            <a:effectLst/>
            <a:sp3d/>
          </c:spPr>
          <c:cat>
            <c:numRef>
              <c:f>z_tramming_Calc!$B$26:$K$26</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z_tramming_Calc!$B$33:$K$33</c:f>
              <c:numCache>
                <c:formatCode>General</c:formatCode>
                <c:ptCount val="10"/>
                <c:pt idx="0">
                  <c:v>0.10050000000000001</c:v>
                </c:pt>
                <c:pt idx="1">
                  <c:v>9.5500000000000002E-2</c:v>
                </c:pt>
                <c:pt idx="2">
                  <c:v>7.1499999999999994E-2</c:v>
                </c:pt>
                <c:pt idx="3">
                  <c:v>8.2250000000000004E-2</c:v>
                </c:pt>
                <c:pt idx="4">
                  <c:v>4.5749999999999999E-2</c:v>
                </c:pt>
                <c:pt idx="5">
                  <c:v>4.7E-2</c:v>
                </c:pt>
                <c:pt idx="6">
                  <c:v>1.6500000000000001E-2</c:v>
                </c:pt>
                <c:pt idx="7">
                  <c:v>2.4250000000000001E-2</c:v>
                </c:pt>
                <c:pt idx="8">
                  <c:v>-1.4500000000000001E-2</c:v>
                </c:pt>
                <c:pt idx="9">
                  <c:v>-9.4999999999999998E-3</c:v>
                </c:pt>
              </c:numCache>
            </c:numRef>
          </c:val>
          <c:extLst>
            <c:ext xmlns:c16="http://schemas.microsoft.com/office/drawing/2014/chart" uri="{C3380CC4-5D6E-409C-BE32-E72D297353CC}">
              <c16:uniqueId val="{00000006-E9A8-49F1-A023-EBCB53FAF751}"/>
            </c:ext>
          </c:extLst>
        </c:ser>
        <c:ser>
          <c:idx val="7"/>
          <c:order val="7"/>
          <c:tx>
            <c:strRef>
              <c:f>z_tramming_Calc!$A$34</c:f>
              <c:strCache>
                <c:ptCount val="1"/>
                <c:pt idx="0">
                  <c:v>162.11</c:v>
                </c:pt>
              </c:strCache>
            </c:strRef>
          </c:tx>
          <c:spPr>
            <a:solidFill>
              <a:schemeClr val="accent2">
                <a:lumMod val="60000"/>
              </a:schemeClr>
            </a:solidFill>
            <a:ln/>
            <a:effectLst/>
            <a:sp3d/>
          </c:spPr>
          <c:cat>
            <c:numRef>
              <c:f>z_tramming_Calc!$B$26:$K$26</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z_tramming_Calc!$B$34:$K$34</c:f>
              <c:numCache>
                <c:formatCode>General</c:formatCode>
                <c:ptCount val="10"/>
                <c:pt idx="0">
                  <c:v>7.0000000000000007E-2</c:v>
                </c:pt>
                <c:pt idx="1">
                  <c:v>7.2999999999999995E-2</c:v>
                </c:pt>
                <c:pt idx="2">
                  <c:v>4.4749999999999998E-2</c:v>
                </c:pt>
                <c:pt idx="3">
                  <c:v>5.7250000000000002E-2</c:v>
                </c:pt>
                <c:pt idx="4">
                  <c:v>1.8499999999999999E-2</c:v>
                </c:pt>
                <c:pt idx="5">
                  <c:v>0.02</c:v>
                </c:pt>
                <c:pt idx="6">
                  <c:v>-1.7500000000000002E-2</c:v>
                </c:pt>
                <c:pt idx="7">
                  <c:v>-1.4E-2</c:v>
                </c:pt>
                <c:pt idx="8">
                  <c:v>-5.45E-2</c:v>
                </c:pt>
                <c:pt idx="9">
                  <c:v>-4.8500000000000001E-2</c:v>
                </c:pt>
              </c:numCache>
            </c:numRef>
          </c:val>
          <c:extLst>
            <c:ext xmlns:c16="http://schemas.microsoft.com/office/drawing/2014/chart" uri="{C3380CC4-5D6E-409C-BE32-E72D297353CC}">
              <c16:uniqueId val="{00000007-E9A8-49F1-A023-EBCB53FAF751}"/>
            </c:ext>
          </c:extLst>
        </c:ser>
        <c:ser>
          <c:idx val="8"/>
          <c:order val="8"/>
          <c:tx>
            <c:strRef>
              <c:f>z_tramming_Calc!$A$35</c:f>
              <c:strCache>
                <c:ptCount val="1"/>
                <c:pt idx="0">
                  <c:v>183.56</c:v>
                </c:pt>
              </c:strCache>
            </c:strRef>
          </c:tx>
          <c:spPr>
            <a:solidFill>
              <a:schemeClr val="accent3">
                <a:lumMod val="60000"/>
              </a:schemeClr>
            </a:solidFill>
            <a:ln/>
            <a:effectLst/>
            <a:sp3d/>
          </c:spPr>
          <c:cat>
            <c:numRef>
              <c:f>z_tramming_Calc!$B$26:$K$26</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z_tramming_Calc!$B$35:$K$35</c:f>
              <c:numCache>
                <c:formatCode>General</c:formatCode>
                <c:ptCount val="10"/>
                <c:pt idx="0">
                  <c:v>-7.0000000000000001E-3</c:v>
                </c:pt>
                <c:pt idx="1">
                  <c:v>-7.2500000000000004E-3</c:v>
                </c:pt>
                <c:pt idx="2">
                  <c:v>-4.0750000000000001E-2</c:v>
                </c:pt>
                <c:pt idx="3">
                  <c:v>-3.4750000000000003E-2</c:v>
                </c:pt>
                <c:pt idx="4">
                  <c:v>-7.9750000000000001E-2</c:v>
                </c:pt>
                <c:pt idx="5">
                  <c:v>-7.3499999999999996E-2</c:v>
                </c:pt>
                <c:pt idx="6">
                  <c:v>-0.115</c:v>
                </c:pt>
                <c:pt idx="7">
                  <c:v>-0.10349999999999999</c:v>
                </c:pt>
                <c:pt idx="8">
                  <c:v>-0.15175</c:v>
                </c:pt>
                <c:pt idx="9">
                  <c:v>-0.13475000000000001</c:v>
                </c:pt>
              </c:numCache>
            </c:numRef>
          </c:val>
          <c:extLst>
            <c:ext xmlns:c16="http://schemas.microsoft.com/office/drawing/2014/chart" uri="{C3380CC4-5D6E-409C-BE32-E72D297353CC}">
              <c16:uniqueId val="{00000008-E9A8-49F1-A023-EBCB53FAF751}"/>
            </c:ext>
          </c:extLst>
        </c:ser>
        <c:ser>
          <c:idx val="9"/>
          <c:order val="9"/>
          <c:tx>
            <c:strRef>
              <c:f>z_tramming_Calc!$A$36</c:f>
              <c:strCache>
                <c:ptCount val="1"/>
                <c:pt idx="0">
                  <c:v>205.00</c:v>
                </c:pt>
              </c:strCache>
            </c:strRef>
          </c:tx>
          <c:spPr>
            <a:solidFill>
              <a:schemeClr val="accent4">
                <a:lumMod val="60000"/>
              </a:schemeClr>
            </a:solidFill>
            <a:ln/>
            <a:effectLst/>
            <a:sp3d/>
          </c:spPr>
          <c:cat>
            <c:numRef>
              <c:f>z_tramming_Calc!$B$26:$K$26</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z_tramming_Calc!$B$36:$K$36</c:f>
              <c:numCache>
                <c:formatCode>General</c:formatCode>
                <c:ptCount val="10"/>
                <c:pt idx="0">
                  <c:v>-0.10174999999999999</c:v>
                </c:pt>
                <c:pt idx="1">
                  <c:v>-0.13350000000000001</c:v>
                </c:pt>
                <c:pt idx="2">
                  <c:v>-0.14699999999999999</c:v>
                </c:pt>
                <c:pt idx="3">
                  <c:v>-0.16850000000000001</c:v>
                </c:pt>
                <c:pt idx="4">
                  <c:v>-0.19375000000000001</c:v>
                </c:pt>
                <c:pt idx="5">
                  <c:v>-0.214</c:v>
                </c:pt>
                <c:pt idx="6">
                  <c:v>-0.23275000000000001</c:v>
                </c:pt>
                <c:pt idx="7">
                  <c:v>-0.2485</c:v>
                </c:pt>
                <c:pt idx="8">
                  <c:v>-0.26050000000000001</c:v>
                </c:pt>
                <c:pt idx="9">
                  <c:v>-0.26750000000000002</c:v>
                </c:pt>
              </c:numCache>
            </c:numRef>
          </c:val>
          <c:extLst>
            <c:ext xmlns:c16="http://schemas.microsoft.com/office/drawing/2014/chart" uri="{C3380CC4-5D6E-409C-BE32-E72D297353CC}">
              <c16:uniqueId val="{00000009-E9A8-49F1-A023-EBCB53FAF751}"/>
            </c:ext>
          </c:extLst>
        </c:ser>
        <c:bandFmts>
          <c:bandFmt>
            <c:idx val="0"/>
            <c:spPr>
              <a:solidFill>
                <a:schemeClr val="accent1"/>
              </a:solidFill>
              <a:ln/>
              <a:effectLst/>
              <a:sp3d/>
            </c:spPr>
          </c:bandFmt>
          <c:bandFmt>
            <c:idx val="1"/>
            <c:spPr>
              <a:solidFill>
                <a:schemeClr val="accent2"/>
              </a:solidFill>
              <a:ln/>
              <a:effectLst/>
              <a:sp3d/>
            </c:spPr>
          </c:bandFmt>
          <c:bandFmt>
            <c:idx val="2"/>
            <c:spPr>
              <a:solidFill>
                <a:schemeClr val="accent3"/>
              </a:solidFill>
              <a:ln/>
              <a:effectLst/>
              <a:sp3d/>
            </c:spPr>
          </c:bandFmt>
          <c:bandFmt>
            <c:idx val="3"/>
            <c:spPr>
              <a:solidFill>
                <a:schemeClr val="accent4"/>
              </a:solidFill>
              <a:ln/>
              <a:effectLst/>
              <a:sp3d/>
            </c:spPr>
          </c:bandFmt>
          <c:bandFmt>
            <c:idx val="4"/>
            <c:spPr>
              <a:solidFill>
                <a:schemeClr val="accent5"/>
              </a:solidFill>
              <a:ln/>
              <a:effectLst/>
              <a:sp3d/>
            </c:spPr>
          </c:bandFmt>
          <c:bandFmt>
            <c:idx val="5"/>
            <c:spPr>
              <a:solidFill>
                <a:schemeClr val="accent6"/>
              </a:solidFill>
              <a:ln/>
              <a:effectLst/>
              <a:sp3d/>
            </c:spPr>
          </c:bandFmt>
          <c:bandFmt>
            <c:idx val="6"/>
            <c:spPr>
              <a:solidFill>
                <a:schemeClr val="accent1">
                  <a:lumMod val="60000"/>
                </a:schemeClr>
              </a:solidFill>
              <a:ln/>
              <a:effectLst/>
              <a:sp3d/>
            </c:spPr>
          </c:bandFmt>
          <c:bandFmt>
            <c:idx val="7"/>
            <c:spPr>
              <a:solidFill>
                <a:schemeClr val="accent2">
                  <a:lumMod val="60000"/>
                </a:schemeClr>
              </a:solidFill>
              <a:ln/>
              <a:effectLst/>
              <a:sp3d/>
            </c:spPr>
          </c:bandFmt>
          <c:bandFmt>
            <c:idx val="8"/>
            <c:spPr>
              <a:solidFill>
                <a:schemeClr val="accent3">
                  <a:lumMod val="60000"/>
                </a:schemeClr>
              </a:solidFill>
              <a:ln/>
              <a:effectLst/>
              <a:sp3d/>
            </c:spPr>
          </c:bandFmt>
          <c:bandFmt>
            <c:idx val="9"/>
            <c:spPr>
              <a:solidFill>
                <a:schemeClr val="accent4">
                  <a:lumMod val="60000"/>
                </a:schemeClr>
              </a:solidFill>
              <a:ln/>
              <a:effectLst/>
              <a:sp3d/>
            </c:spPr>
          </c:bandFmt>
          <c:bandFmt>
            <c:idx val="10"/>
            <c:spPr>
              <a:solidFill>
                <a:schemeClr val="accent5">
                  <a:lumMod val="60000"/>
                </a:schemeClr>
              </a:solidFill>
              <a:ln/>
              <a:effectLst/>
              <a:sp3d/>
            </c:spPr>
          </c:bandFmt>
          <c:bandFmt>
            <c:idx val="11"/>
            <c:spPr>
              <a:solidFill>
                <a:schemeClr val="accent6">
                  <a:lumMod val="60000"/>
                </a:schemeClr>
              </a:solidFill>
              <a:ln/>
              <a:effectLst/>
              <a:sp3d/>
            </c:spPr>
          </c:bandFmt>
          <c:bandFmt>
            <c:idx val="12"/>
            <c:spPr>
              <a:solidFill>
                <a:schemeClr val="accent1">
                  <a:lumMod val="80000"/>
                  <a:lumOff val="20000"/>
                </a:schemeClr>
              </a:solidFill>
              <a:ln/>
              <a:effectLst/>
              <a:sp3d/>
            </c:spPr>
          </c:bandFmt>
          <c:bandFmt>
            <c:idx val="13"/>
            <c:spPr>
              <a:solidFill>
                <a:schemeClr val="accent2">
                  <a:lumMod val="80000"/>
                  <a:lumOff val="20000"/>
                </a:schemeClr>
              </a:solidFill>
              <a:ln/>
              <a:effectLst/>
              <a:sp3d/>
            </c:spPr>
          </c:bandFmt>
          <c:bandFmt>
            <c:idx val="14"/>
            <c:spPr>
              <a:solidFill>
                <a:schemeClr val="accent3">
                  <a:lumMod val="80000"/>
                  <a:lumOff val="20000"/>
                </a:schemeClr>
              </a:solidFill>
              <a:ln/>
              <a:effectLst/>
              <a:sp3d/>
            </c:spPr>
          </c:bandFmt>
        </c:bandFmts>
        <c:axId val="924471504"/>
        <c:axId val="924446544"/>
        <c:axId val="924130368"/>
      </c:surface3DChart>
      <c:catAx>
        <c:axId val="924471504"/>
        <c:scaling>
          <c:orientation val="minMax"/>
        </c:scaling>
        <c:delete val="0"/>
        <c:axPos val="b"/>
        <c:numFmt formatCode="0.00"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4446544"/>
        <c:crosses val="autoZero"/>
        <c:auto val="1"/>
        <c:lblAlgn val="ctr"/>
        <c:lblOffset val="100"/>
        <c:noMultiLvlLbl val="0"/>
      </c:catAx>
      <c:valAx>
        <c:axId val="9244465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4471504"/>
        <c:crosses val="autoZero"/>
        <c:crossBetween val="midCat"/>
        <c:majorUnit val="5.000000000000001E-2"/>
      </c:valAx>
      <c:serAx>
        <c:axId val="924130368"/>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4446544"/>
        <c:crosses val="autoZero"/>
      </c:ser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"Flat"</a:t>
            </a:r>
            <a:r>
              <a:rPr lang="en-US" b="1" baseline="0"/>
              <a:t> Mesh per Bed Mesh Calibration</a:t>
            </a:r>
            <a:endParaRPr lang="en-US" b="1"/>
          </a:p>
        </c:rich>
      </c:tx>
      <c:layout>
        <c:manualLayout>
          <c:xMode val="edge"/>
          <c:yMode val="edge"/>
          <c:x val="0.25072468027630135"/>
          <c:y val="3.8034852992237585E-2"/>
        </c:manualLayout>
      </c:layout>
      <c:overlay val="0"/>
      <c:spPr>
        <a:noFill/>
        <a:ln>
          <a:noFill/>
        </a:ln>
        <a:effectLst/>
      </c:spPr>
    </c:title>
    <c:autoTitleDeleted val="0"/>
    <c:view3D>
      <c:rotX val="15"/>
      <c:rotY val="20"/>
      <c:rAngAx val="0"/>
    </c:view3D>
    <c:floor>
      <c:thickness val="0"/>
      <c:spPr>
        <a:noFill/>
        <a:ln w="6350" cap="flat" cmpd="sng" algn="ctr">
          <a:noFill/>
          <a:prstDash val="solid"/>
          <a:round/>
        </a:ln>
        <a:effectLst/>
        <a:sp3d/>
      </c:spPr>
    </c:floor>
    <c:sideWall>
      <c:thickness val="0"/>
      <c:spPr>
        <a:noFill/>
        <a:ln>
          <a:noFill/>
        </a:ln>
        <a:effectLst/>
        <a:sp3d/>
      </c:spPr>
    </c:sideWall>
    <c:backWall>
      <c:thickness val="0"/>
      <c:spPr>
        <a:noFill/>
        <a:ln>
          <a:noFill/>
        </a:ln>
        <a:effectLst/>
        <a:sp3d/>
      </c:spPr>
    </c:backWall>
    <c:plotArea>
      <c:layout/>
      <c:surface3DChart>
        <c:wireframe val="0"/>
        <c:ser>
          <c:idx val="0"/>
          <c:order val="0"/>
          <c:tx>
            <c:strRef>
              <c:f>z_tramming_Calc!$A$47</c:f>
              <c:strCache>
                <c:ptCount val="1"/>
                <c:pt idx="0">
                  <c:v>12.00</c:v>
                </c:pt>
              </c:strCache>
            </c:strRef>
          </c:tx>
          <c:spPr>
            <a:solidFill>
              <a:schemeClr val="accent1"/>
            </a:solidFill>
            <a:ln/>
            <a:effectLst/>
            <a:sp3d/>
          </c:spPr>
          <c:cat>
            <c:numRef>
              <c:f>z_tramming_Calc!$B$46:$K$46</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z_tramming_Calc!$B$47:$K$47</c:f>
              <c:numCache>
                <c:formatCode>0.000000</c:formatCode>
                <c:ptCount val="10"/>
                <c:pt idx="0">
                  <c:v>-3.5416999999999997E-2</c:v>
                </c:pt>
                <c:pt idx="1">
                  <c:v>-5.4167E-2</c:v>
                </c:pt>
                <c:pt idx="2">
                  <c:v>-0.111667</c:v>
                </c:pt>
                <c:pt idx="3">
                  <c:v>-0.1</c:v>
                </c:pt>
                <c:pt idx="4">
                  <c:v>-0.129583</c:v>
                </c:pt>
                <c:pt idx="5">
                  <c:v>-0.10875</c:v>
                </c:pt>
                <c:pt idx="6">
                  <c:v>-0.11708300000000001</c:v>
                </c:pt>
                <c:pt idx="7">
                  <c:v>-0.11125</c:v>
                </c:pt>
                <c:pt idx="8">
                  <c:v>-0.104167</c:v>
                </c:pt>
                <c:pt idx="9">
                  <c:v>-9.1666999999999998E-2</c:v>
                </c:pt>
              </c:numCache>
            </c:numRef>
          </c:val>
          <c:extLst>
            <c:ext xmlns:c16="http://schemas.microsoft.com/office/drawing/2014/chart" uri="{C3380CC4-5D6E-409C-BE32-E72D297353CC}">
              <c16:uniqueId val="{00000000-F8FA-4EFF-90E8-771B3E5096D3}"/>
            </c:ext>
          </c:extLst>
        </c:ser>
        <c:ser>
          <c:idx val="1"/>
          <c:order val="1"/>
          <c:tx>
            <c:strRef>
              <c:f>z_tramming_Calc!$A$48</c:f>
              <c:strCache>
                <c:ptCount val="1"/>
                <c:pt idx="0">
                  <c:v>33.44</c:v>
                </c:pt>
              </c:strCache>
            </c:strRef>
          </c:tx>
          <c:spPr>
            <a:solidFill>
              <a:schemeClr val="accent2"/>
            </a:solidFill>
            <a:ln/>
            <a:effectLst/>
            <a:sp3d/>
          </c:spPr>
          <c:cat>
            <c:numRef>
              <c:f>z_tramming_Calc!$B$46:$K$46</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z_tramming_Calc!$B$48:$K$48</c:f>
              <c:numCache>
                <c:formatCode>0.000000</c:formatCode>
                <c:ptCount val="10"/>
                <c:pt idx="0">
                  <c:v>-3.9167E-2</c:v>
                </c:pt>
                <c:pt idx="1">
                  <c:v>-4.2083000000000002E-2</c:v>
                </c:pt>
                <c:pt idx="2">
                  <c:v>-0.1</c:v>
                </c:pt>
                <c:pt idx="3">
                  <c:v>-8.6249999999999993E-2</c:v>
                </c:pt>
                <c:pt idx="4">
                  <c:v>-0.104167</c:v>
                </c:pt>
                <c:pt idx="5">
                  <c:v>-9.375E-2</c:v>
                </c:pt>
                <c:pt idx="6">
                  <c:v>-0.104167</c:v>
                </c:pt>
                <c:pt idx="7">
                  <c:v>-9.0832999999999997E-2</c:v>
                </c:pt>
                <c:pt idx="8">
                  <c:v>-8.0833000000000002E-2</c:v>
                </c:pt>
                <c:pt idx="9">
                  <c:v>-9.0832999999999997E-2</c:v>
                </c:pt>
              </c:numCache>
            </c:numRef>
          </c:val>
          <c:extLst>
            <c:ext xmlns:c16="http://schemas.microsoft.com/office/drawing/2014/chart" uri="{C3380CC4-5D6E-409C-BE32-E72D297353CC}">
              <c16:uniqueId val="{00000001-F8FA-4EFF-90E8-771B3E5096D3}"/>
            </c:ext>
          </c:extLst>
        </c:ser>
        <c:ser>
          <c:idx val="2"/>
          <c:order val="2"/>
          <c:tx>
            <c:strRef>
              <c:f>z_tramming_Calc!$A$49</c:f>
              <c:strCache>
                <c:ptCount val="1"/>
                <c:pt idx="0">
                  <c:v>54.89</c:v>
                </c:pt>
              </c:strCache>
            </c:strRef>
          </c:tx>
          <c:spPr>
            <a:solidFill>
              <a:schemeClr val="accent3"/>
            </a:solidFill>
            <a:ln/>
            <a:effectLst/>
            <a:sp3d/>
          </c:spPr>
          <c:cat>
            <c:numRef>
              <c:f>z_tramming_Calc!$B$46:$K$46</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z_tramming_Calc!$B$49:$K$49</c:f>
              <c:numCache>
                <c:formatCode>0.000000</c:formatCode>
                <c:ptCount val="10"/>
                <c:pt idx="0">
                  <c:v>1.0833000000000001E-2</c:v>
                </c:pt>
                <c:pt idx="1">
                  <c:v>1.2500000000000001E-2</c:v>
                </c:pt>
                <c:pt idx="2">
                  <c:v>-4.5832999999999999E-2</c:v>
                </c:pt>
                <c:pt idx="3">
                  <c:v>-4.4166999999999998E-2</c:v>
                </c:pt>
                <c:pt idx="4">
                  <c:v>-7.6249999999999998E-2</c:v>
                </c:pt>
                <c:pt idx="5">
                  <c:v>-6.3333E-2</c:v>
                </c:pt>
                <c:pt idx="6">
                  <c:v>-8.5417000000000007E-2</c:v>
                </c:pt>
                <c:pt idx="7">
                  <c:v>-7.2916999999999996E-2</c:v>
                </c:pt>
                <c:pt idx="8">
                  <c:v>-7.4582999999999997E-2</c:v>
                </c:pt>
                <c:pt idx="9">
                  <c:v>-4.0417000000000002E-2</c:v>
                </c:pt>
              </c:numCache>
            </c:numRef>
          </c:val>
          <c:extLst>
            <c:ext xmlns:c16="http://schemas.microsoft.com/office/drawing/2014/chart" uri="{C3380CC4-5D6E-409C-BE32-E72D297353CC}">
              <c16:uniqueId val="{00000002-F8FA-4EFF-90E8-771B3E5096D3}"/>
            </c:ext>
          </c:extLst>
        </c:ser>
        <c:ser>
          <c:idx val="3"/>
          <c:order val="3"/>
          <c:tx>
            <c:strRef>
              <c:f>z_tramming_Calc!$A$50</c:f>
              <c:strCache>
                <c:ptCount val="1"/>
                <c:pt idx="0">
                  <c:v>76.33</c:v>
                </c:pt>
              </c:strCache>
            </c:strRef>
          </c:tx>
          <c:spPr>
            <a:solidFill>
              <a:schemeClr val="accent4"/>
            </a:solidFill>
            <a:ln/>
            <a:effectLst/>
            <a:sp3d/>
          </c:spPr>
          <c:cat>
            <c:numRef>
              <c:f>z_tramming_Calc!$B$46:$K$46</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z_tramming_Calc!$B$50:$K$50</c:f>
              <c:numCache>
                <c:formatCode>0.000000</c:formatCode>
                <c:ptCount val="10"/>
                <c:pt idx="0">
                  <c:v>1.9583E-2</c:v>
                </c:pt>
                <c:pt idx="1">
                  <c:v>9.5829999999999995E-3</c:v>
                </c:pt>
                <c:pt idx="2">
                  <c:v>-2.7917000000000001E-2</c:v>
                </c:pt>
                <c:pt idx="3">
                  <c:v>-1.7916999999999999E-2</c:v>
                </c:pt>
                <c:pt idx="4">
                  <c:v>-5.5417000000000001E-2</c:v>
                </c:pt>
                <c:pt idx="5">
                  <c:v>-4.5416999999999999E-2</c:v>
                </c:pt>
                <c:pt idx="6">
                  <c:v>-7.0000000000000007E-2</c:v>
                </c:pt>
                <c:pt idx="7">
                  <c:v>-5.9582999999999997E-2</c:v>
                </c:pt>
                <c:pt idx="8">
                  <c:v>-6.8333000000000005E-2</c:v>
                </c:pt>
                <c:pt idx="9">
                  <c:v>-1.7916999999999999E-2</c:v>
                </c:pt>
              </c:numCache>
            </c:numRef>
          </c:val>
          <c:extLst>
            <c:ext xmlns:c16="http://schemas.microsoft.com/office/drawing/2014/chart" uri="{C3380CC4-5D6E-409C-BE32-E72D297353CC}">
              <c16:uniqueId val="{00000003-F8FA-4EFF-90E8-771B3E5096D3}"/>
            </c:ext>
          </c:extLst>
        </c:ser>
        <c:ser>
          <c:idx val="4"/>
          <c:order val="4"/>
          <c:tx>
            <c:strRef>
              <c:f>z_tramming_Calc!$A$51</c:f>
              <c:strCache>
                <c:ptCount val="1"/>
                <c:pt idx="0">
                  <c:v>97.78</c:v>
                </c:pt>
              </c:strCache>
            </c:strRef>
          </c:tx>
          <c:spPr>
            <a:solidFill>
              <a:schemeClr val="accent5"/>
            </a:solidFill>
            <a:ln/>
            <a:effectLst/>
            <a:sp3d/>
          </c:spPr>
          <c:cat>
            <c:numRef>
              <c:f>z_tramming_Calc!$B$46:$K$46</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z_tramming_Calc!$B$51:$K$51</c:f>
              <c:numCache>
                <c:formatCode>0.000000</c:formatCode>
                <c:ptCount val="10"/>
                <c:pt idx="0">
                  <c:v>3.5832999999999997E-2</c:v>
                </c:pt>
                <c:pt idx="1">
                  <c:v>3.0832999999999999E-2</c:v>
                </c:pt>
                <c:pt idx="2">
                  <c:v>-5.0000000000000001E-3</c:v>
                </c:pt>
                <c:pt idx="3">
                  <c:v>-8.3299999999999997E-4</c:v>
                </c:pt>
                <c:pt idx="4">
                  <c:v>-4.6667E-2</c:v>
                </c:pt>
                <c:pt idx="5">
                  <c:v>-4.1250000000000002E-2</c:v>
                </c:pt>
                <c:pt idx="6">
                  <c:v>-7.1666999999999995E-2</c:v>
                </c:pt>
                <c:pt idx="7">
                  <c:v>-6.2082999999999999E-2</c:v>
                </c:pt>
                <c:pt idx="8">
                  <c:v>-6.7083000000000004E-2</c:v>
                </c:pt>
                <c:pt idx="9">
                  <c:v>-1.7916999999999999E-2</c:v>
                </c:pt>
              </c:numCache>
            </c:numRef>
          </c:val>
          <c:extLst>
            <c:ext xmlns:c16="http://schemas.microsoft.com/office/drawing/2014/chart" uri="{C3380CC4-5D6E-409C-BE32-E72D297353CC}">
              <c16:uniqueId val="{00000004-F8FA-4EFF-90E8-771B3E5096D3}"/>
            </c:ext>
          </c:extLst>
        </c:ser>
        <c:ser>
          <c:idx val="5"/>
          <c:order val="5"/>
          <c:tx>
            <c:strRef>
              <c:f>z_tramming_Calc!$A$52</c:f>
              <c:strCache>
                <c:ptCount val="1"/>
                <c:pt idx="0">
                  <c:v>119.22</c:v>
                </c:pt>
              </c:strCache>
            </c:strRef>
          </c:tx>
          <c:spPr>
            <a:solidFill>
              <a:schemeClr val="accent6"/>
            </a:solidFill>
            <a:ln/>
            <a:effectLst/>
            <a:sp3d/>
          </c:spPr>
          <c:cat>
            <c:numRef>
              <c:f>z_tramming_Calc!$B$46:$K$46</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z_tramming_Calc!$B$52:$K$52</c:f>
              <c:numCache>
                <c:formatCode>0.000000</c:formatCode>
                <c:ptCount val="10"/>
                <c:pt idx="0">
                  <c:v>4.4582999999999998E-2</c:v>
                </c:pt>
                <c:pt idx="1">
                  <c:v>3.0417E-2</c:v>
                </c:pt>
                <c:pt idx="2">
                  <c:v>-7.4999999999999997E-3</c:v>
                </c:pt>
                <c:pt idx="3">
                  <c:v>-6.6670000000000002E-3</c:v>
                </c:pt>
                <c:pt idx="4">
                  <c:v>-6.0832999999999998E-2</c:v>
                </c:pt>
                <c:pt idx="5">
                  <c:v>-5.3332999999999998E-2</c:v>
                </c:pt>
                <c:pt idx="6">
                  <c:v>-7.2499999999999995E-2</c:v>
                </c:pt>
                <c:pt idx="7">
                  <c:v>-6.6667000000000004E-2</c:v>
                </c:pt>
                <c:pt idx="8">
                  <c:v>-5.8749999999999997E-2</c:v>
                </c:pt>
                <c:pt idx="9">
                  <c:v>-1.4583E-2</c:v>
                </c:pt>
              </c:numCache>
            </c:numRef>
          </c:val>
          <c:extLst>
            <c:ext xmlns:c16="http://schemas.microsoft.com/office/drawing/2014/chart" uri="{C3380CC4-5D6E-409C-BE32-E72D297353CC}">
              <c16:uniqueId val="{00000005-F8FA-4EFF-90E8-771B3E5096D3}"/>
            </c:ext>
          </c:extLst>
        </c:ser>
        <c:ser>
          <c:idx val="6"/>
          <c:order val="6"/>
          <c:tx>
            <c:strRef>
              <c:f>z_tramming_Calc!$A$53</c:f>
              <c:strCache>
                <c:ptCount val="1"/>
                <c:pt idx="0">
                  <c:v>140.67</c:v>
                </c:pt>
              </c:strCache>
            </c:strRef>
          </c:tx>
          <c:spPr>
            <a:solidFill>
              <a:schemeClr val="accent1">
                <a:lumMod val="60000"/>
              </a:schemeClr>
            </a:solidFill>
            <a:ln/>
            <a:effectLst/>
            <a:sp3d/>
          </c:spPr>
          <c:cat>
            <c:numRef>
              <c:f>z_tramming_Calc!$B$46:$K$46</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z_tramming_Calc!$B$53:$K$53</c:f>
              <c:numCache>
                <c:formatCode>0.000000</c:formatCode>
                <c:ptCount val="10"/>
                <c:pt idx="0">
                  <c:v>3.875E-2</c:v>
                </c:pt>
                <c:pt idx="1">
                  <c:v>3.1667000000000001E-2</c:v>
                </c:pt>
                <c:pt idx="2">
                  <c:v>-6.6670000000000002E-3</c:v>
                </c:pt>
                <c:pt idx="3">
                  <c:v>-1.6670000000000001E-3</c:v>
                </c:pt>
                <c:pt idx="4">
                  <c:v>-4.2500000000000003E-2</c:v>
                </c:pt>
                <c:pt idx="5">
                  <c:v>-4.1250000000000002E-2</c:v>
                </c:pt>
                <c:pt idx="6">
                  <c:v>-6.7917000000000005E-2</c:v>
                </c:pt>
                <c:pt idx="7">
                  <c:v>-6.9167000000000006E-2</c:v>
                </c:pt>
                <c:pt idx="8">
                  <c:v>-6.6667000000000004E-2</c:v>
                </c:pt>
                <c:pt idx="9">
                  <c:v>-2.5000000000000001E-2</c:v>
                </c:pt>
              </c:numCache>
            </c:numRef>
          </c:val>
          <c:extLst>
            <c:ext xmlns:c16="http://schemas.microsoft.com/office/drawing/2014/chart" uri="{C3380CC4-5D6E-409C-BE32-E72D297353CC}">
              <c16:uniqueId val="{00000006-F8FA-4EFF-90E8-771B3E5096D3}"/>
            </c:ext>
          </c:extLst>
        </c:ser>
        <c:ser>
          <c:idx val="7"/>
          <c:order val="7"/>
          <c:tx>
            <c:strRef>
              <c:f>z_tramming_Calc!$A$54</c:f>
              <c:strCache>
                <c:ptCount val="1"/>
                <c:pt idx="0">
                  <c:v>162.11</c:v>
                </c:pt>
              </c:strCache>
            </c:strRef>
          </c:tx>
          <c:spPr>
            <a:solidFill>
              <a:schemeClr val="accent2">
                <a:lumMod val="60000"/>
              </a:schemeClr>
            </a:solidFill>
            <a:ln/>
            <a:effectLst/>
            <a:sp3d/>
          </c:spPr>
          <c:cat>
            <c:numRef>
              <c:f>z_tramming_Calc!$B$46:$K$46</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z_tramming_Calc!$B$54:$K$54</c:f>
              <c:numCache>
                <c:formatCode>0.000000</c:formatCode>
                <c:ptCount val="10"/>
                <c:pt idx="0">
                  <c:v>3.3750000000000002E-2</c:v>
                </c:pt>
                <c:pt idx="1">
                  <c:v>1.7500000000000002E-2</c:v>
                </c:pt>
                <c:pt idx="2">
                  <c:v>-2.2499999999999999E-2</c:v>
                </c:pt>
                <c:pt idx="3">
                  <c:v>-5.4169999999999999E-3</c:v>
                </c:pt>
                <c:pt idx="4">
                  <c:v>-4.2083000000000002E-2</c:v>
                </c:pt>
                <c:pt idx="5">
                  <c:v>-4.2500000000000003E-2</c:v>
                </c:pt>
                <c:pt idx="6">
                  <c:v>-7.6249999999999998E-2</c:v>
                </c:pt>
                <c:pt idx="7">
                  <c:v>-7.5832999999999998E-2</c:v>
                </c:pt>
                <c:pt idx="8">
                  <c:v>-6.8333000000000005E-2</c:v>
                </c:pt>
                <c:pt idx="9">
                  <c:v>-3.0417E-2</c:v>
                </c:pt>
              </c:numCache>
            </c:numRef>
          </c:val>
          <c:extLst>
            <c:ext xmlns:c16="http://schemas.microsoft.com/office/drawing/2014/chart" uri="{C3380CC4-5D6E-409C-BE32-E72D297353CC}">
              <c16:uniqueId val="{00000007-F8FA-4EFF-90E8-771B3E5096D3}"/>
            </c:ext>
          </c:extLst>
        </c:ser>
        <c:ser>
          <c:idx val="8"/>
          <c:order val="8"/>
          <c:tx>
            <c:strRef>
              <c:f>z_tramming_Calc!$A$55</c:f>
              <c:strCache>
                <c:ptCount val="1"/>
                <c:pt idx="0">
                  <c:v>183.56</c:v>
                </c:pt>
              </c:strCache>
            </c:strRef>
          </c:tx>
          <c:spPr>
            <a:solidFill>
              <a:schemeClr val="accent3">
                <a:lumMod val="60000"/>
              </a:schemeClr>
            </a:solidFill>
            <a:ln/>
            <a:effectLst/>
            <a:sp3d/>
          </c:spPr>
          <c:cat>
            <c:numRef>
              <c:f>z_tramming_Calc!$B$46:$K$46</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z_tramming_Calc!$B$55:$K$55</c:f>
              <c:numCache>
                <c:formatCode>0.000000</c:formatCode>
                <c:ptCount val="10"/>
                <c:pt idx="0">
                  <c:v>8.3299999999999997E-4</c:v>
                </c:pt>
                <c:pt idx="1">
                  <c:v>-7.4999999999999997E-3</c:v>
                </c:pt>
                <c:pt idx="2">
                  <c:v>-3.875E-2</c:v>
                </c:pt>
                <c:pt idx="3">
                  <c:v>-2.0417000000000001E-2</c:v>
                </c:pt>
                <c:pt idx="4">
                  <c:v>-4.7500000000000001E-2</c:v>
                </c:pt>
                <c:pt idx="5">
                  <c:v>-4.7083E-2</c:v>
                </c:pt>
                <c:pt idx="6">
                  <c:v>-7.3332999999999995E-2</c:v>
                </c:pt>
                <c:pt idx="7">
                  <c:v>-7.8750000000000001E-2</c:v>
                </c:pt>
                <c:pt idx="8">
                  <c:v>-8.6249999999999993E-2</c:v>
                </c:pt>
                <c:pt idx="9">
                  <c:v>-3.5832999999999997E-2</c:v>
                </c:pt>
              </c:numCache>
            </c:numRef>
          </c:val>
          <c:extLst>
            <c:ext xmlns:c16="http://schemas.microsoft.com/office/drawing/2014/chart" uri="{C3380CC4-5D6E-409C-BE32-E72D297353CC}">
              <c16:uniqueId val="{00000008-F8FA-4EFF-90E8-771B3E5096D3}"/>
            </c:ext>
          </c:extLst>
        </c:ser>
        <c:ser>
          <c:idx val="9"/>
          <c:order val="9"/>
          <c:tx>
            <c:strRef>
              <c:f>z_tramming_Calc!$A$56</c:f>
              <c:strCache>
                <c:ptCount val="1"/>
                <c:pt idx="0">
                  <c:v>205.00</c:v>
                </c:pt>
              </c:strCache>
            </c:strRef>
          </c:tx>
          <c:spPr>
            <a:solidFill>
              <a:schemeClr val="accent4">
                <a:lumMod val="60000"/>
              </a:schemeClr>
            </a:solidFill>
            <a:ln/>
            <a:effectLst/>
            <a:sp3d/>
          </c:spPr>
          <c:cat>
            <c:numRef>
              <c:f>z_tramming_Calc!$B$46:$K$46</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z_tramming_Calc!$B$56:$K$56</c:f>
              <c:numCache>
                <c:formatCode>0.000000</c:formatCode>
                <c:ptCount val="10"/>
                <c:pt idx="0">
                  <c:v>1.5833E-2</c:v>
                </c:pt>
                <c:pt idx="1">
                  <c:v>9.5829999999999995E-3</c:v>
                </c:pt>
                <c:pt idx="2">
                  <c:v>-0.01</c:v>
                </c:pt>
                <c:pt idx="3">
                  <c:v>1.2500000000000001E-2</c:v>
                </c:pt>
                <c:pt idx="4">
                  <c:v>-3.7082999999999998E-2</c:v>
                </c:pt>
                <c:pt idx="5">
                  <c:v>-0.04</c:v>
                </c:pt>
                <c:pt idx="6">
                  <c:v>-6.5000000000000002E-2</c:v>
                </c:pt>
                <c:pt idx="7">
                  <c:v>-7.7499999999999999E-2</c:v>
                </c:pt>
                <c:pt idx="8">
                  <c:v>-8.4167000000000006E-2</c:v>
                </c:pt>
                <c:pt idx="9">
                  <c:v>-2.6667E-2</c:v>
                </c:pt>
              </c:numCache>
            </c:numRef>
          </c:val>
          <c:extLst>
            <c:ext xmlns:c16="http://schemas.microsoft.com/office/drawing/2014/chart" uri="{C3380CC4-5D6E-409C-BE32-E72D297353CC}">
              <c16:uniqueId val="{00000009-F8FA-4EFF-90E8-771B3E5096D3}"/>
            </c:ext>
          </c:extLst>
        </c:ser>
        <c:bandFmts>
          <c:bandFmt>
            <c:idx val="0"/>
            <c:spPr>
              <a:solidFill>
                <a:schemeClr val="accent1"/>
              </a:solidFill>
              <a:ln/>
              <a:effectLst/>
              <a:sp3d/>
            </c:spPr>
          </c:bandFmt>
          <c:bandFmt>
            <c:idx val="1"/>
            <c:spPr>
              <a:solidFill>
                <a:schemeClr val="accent2"/>
              </a:solidFill>
              <a:ln/>
              <a:effectLst/>
              <a:sp3d/>
            </c:spPr>
          </c:bandFmt>
          <c:bandFmt>
            <c:idx val="2"/>
            <c:spPr>
              <a:solidFill>
                <a:schemeClr val="accent3"/>
              </a:solidFill>
              <a:ln/>
              <a:effectLst/>
              <a:sp3d/>
            </c:spPr>
          </c:bandFmt>
          <c:bandFmt>
            <c:idx val="3"/>
            <c:spPr>
              <a:solidFill>
                <a:schemeClr val="accent4"/>
              </a:solidFill>
              <a:ln/>
              <a:effectLst/>
              <a:sp3d/>
            </c:spPr>
          </c:bandFmt>
          <c:bandFmt>
            <c:idx val="4"/>
            <c:spPr>
              <a:solidFill>
                <a:schemeClr val="accent5"/>
              </a:solidFill>
              <a:ln/>
              <a:effectLst/>
              <a:sp3d/>
            </c:spPr>
          </c:bandFmt>
          <c:bandFmt>
            <c:idx val="5"/>
            <c:spPr>
              <a:solidFill>
                <a:schemeClr val="accent6"/>
              </a:solidFill>
              <a:ln/>
              <a:effectLst/>
              <a:sp3d/>
            </c:spPr>
          </c:bandFmt>
          <c:bandFmt>
            <c:idx val="6"/>
            <c:spPr>
              <a:solidFill>
                <a:schemeClr val="accent1">
                  <a:lumMod val="60000"/>
                </a:schemeClr>
              </a:solidFill>
              <a:ln/>
              <a:effectLst/>
              <a:sp3d/>
            </c:spPr>
          </c:bandFmt>
          <c:bandFmt>
            <c:idx val="7"/>
            <c:spPr>
              <a:solidFill>
                <a:schemeClr val="accent2">
                  <a:lumMod val="60000"/>
                </a:schemeClr>
              </a:solidFill>
              <a:ln/>
              <a:effectLst/>
              <a:sp3d/>
            </c:spPr>
          </c:bandFmt>
          <c:bandFmt>
            <c:idx val="8"/>
            <c:spPr>
              <a:solidFill>
                <a:schemeClr val="accent3">
                  <a:lumMod val="60000"/>
                </a:schemeClr>
              </a:solidFill>
              <a:ln/>
              <a:effectLst/>
              <a:sp3d/>
            </c:spPr>
          </c:bandFmt>
          <c:bandFmt>
            <c:idx val="9"/>
            <c:spPr>
              <a:solidFill>
                <a:schemeClr val="accent4">
                  <a:lumMod val="60000"/>
                </a:schemeClr>
              </a:solidFill>
              <a:ln/>
              <a:effectLst/>
              <a:sp3d/>
            </c:spPr>
          </c:bandFmt>
          <c:bandFmt>
            <c:idx val="10"/>
            <c:spPr>
              <a:solidFill>
                <a:schemeClr val="accent5">
                  <a:lumMod val="60000"/>
                </a:schemeClr>
              </a:solidFill>
              <a:ln/>
              <a:effectLst/>
              <a:sp3d/>
            </c:spPr>
          </c:bandFmt>
          <c:bandFmt>
            <c:idx val="11"/>
            <c:spPr>
              <a:solidFill>
                <a:schemeClr val="accent6">
                  <a:lumMod val="60000"/>
                </a:schemeClr>
              </a:solidFill>
              <a:ln/>
              <a:effectLst/>
              <a:sp3d/>
            </c:spPr>
          </c:bandFmt>
          <c:bandFmt>
            <c:idx val="12"/>
            <c:spPr>
              <a:solidFill>
                <a:schemeClr val="accent1">
                  <a:lumMod val="80000"/>
                  <a:lumOff val="20000"/>
                </a:schemeClr>
              </a:solidFill>
              <a:ln/>
              <a:effectLst/>
              <a:sp3d/>
            </c:spPr>
          </c:bandFmt>
          <c:bandFmt>
            <c:idx val="13"/>
            <c:spPr>
              <a:solidFill>
                <a:schemeClr val="accent2">
                  <a:lumMod val="80000"/>
                  <a:lumOff val="20000"/>
                </a:schemeClr>
              </a:solidFill>
              <a:ln/>
              <a:effectLst/>
              <a:sp3d/>
            </c:spPr>
          </c:bandFmt>
          <c:bandFmt>
            <c:idx val="14"/>
            <c:spPr>
              <a:solidFill>
                <a:schemeClr val="accent3">
                  <a:lumMod val="80000"/>
                  <a:lumOff val="20000"/>
                </a:schemeClr>
              </a:solidFill>
              <a:ln/>
              <a:effectLst/>
              <a:sp3d/>
            </c:spPr>
          </c:bandFmt>
        </c:bandFmts>
        <c:axId val="2017134624"/>
        <c:axId val="2017135104"/>
        <c:axId val="1637814432"/>
      </c:surface3DChart>
      <c:catAx>
        <c:axId val="2017134624"/>
        <c:scaling>
          <c:orientation val="minMax"/>
        </c:scaling>
        <c:delete val="0"/>
        <c:axPos val="b"/>
        <c:numFmt formatCode="0.00" sourceLinked="1"/>
        <c:majorTickMark val="out"/>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7135104"/>
        <c:crosses val="autoZero"/>
        <c:auto val="1"/>
        <c:lblAlgn val="ctr"/>
        <c:lblOffset val="100"/>
        <c:noMultiLvlLbl val="0"/>
      </c:catAx>
      <c:valAx>
        <c:axId val="2017135104"/>
        <c:scaling>
          <c:orientation val="minMax"/>
          <c:max val="0.2"/>
          <c:min val="-0.30000000000000004"/>
        </c:scaling>
        <c:delete val="0"/>
        <c:axPos val="l"/>
        <c:majorGridlines>
          <c:spPr>
            <a:ln w="9525" cap="flat" cmpd="sng" algn="ctr">
              <a:solidFill>
                <a:schemeClr val="tx1">
                  <a:lumMod val="15000"/>
                  <a:lumOff val="85000"/>
                </a:schemeClr>
              </a:solidFill>
              <a:prstDash val="solid"/>
              <a:round/>
            </a:ln>
            <a:effectLst/>
          </c:spPr>
        </c:majorGridlines>
        <c:numFmt formatCode="0.000000" sourceLinked="1"/>
        <c:majorTickMark val="none"/>
        <c:minorTickMark val="none"/>
        <c:tickLblPos val="nextTo"/>
        <c:spPr>
          <a:noFill/>
          <a:ln w="6350" cap="flat" cmpd="sng" algn="ctr">
            <a:no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7134624"/>
        <c:crosses val="autoZero"/>
        <c:crossBetween val="midCat"/>
        <c:majorUnit val="5.000000000000001E-2"/>
      </c:valAx>
      <c:serAx>
        <c:axId val="1637814432"/>
        <c:scaling>
          <c:orientation val="minMax"/>
        </c:scaling>
        <c:delete val="0"/>
        <c:axPos val="b"/>
        <c:majorTickMark val="out"/>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7135104"/>
        <c:crosses val="autoZero"/>
      </c:ser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No Shims Added</a:t>
            </a:r>
          </a:p>
        </c:rich>
      </c:tx>
      <c:overlay val="0"/>
      <c:spPr>
        <a:noFill/>
        <a:ln>
          <a:noFill/>
        </a:ln>
        <a:effectLst/>
      </c:spPr>
    </c:title>
    <c:autoTitleDeleted val="0"/>
    <c:view3D>
      <c:rotX val="90"/>
      <c:rotY val="0"/>
      <c:rAngAx val="0"/>
      <c:perspective val="0"/>
    </c:view3D>
    <c:floor>
      <c:thickness val="0"/>
      <c:spPr>
        <a:solidFill>
          <a:schemeClr val="tx1"/>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6185003901539343E-2"/>
          <c:y val="0.12296544035674473"/>
          <c:w val="0.85271827780002074"/>
          <c:h val="0.63223664767656551"/>
        </c:manualLayout>
      </c:layout>
      <c:surfaceChart>
        <c:wireframe val="1"/>
        <c:ser>
          <c:idx val="0"/>
          <c:order val="0"/>
          <c:tx>
            <c:strRef>
              <c:f>z_tramming_Calc!$A$27</c:f>
              <c:strCache>
                <c:ptCount val="1"/>
                <c:pt idx="0">
                  <c:v>12.00</c:v>
                </c:pt>
              </c:strCache>
            </c:strRef>
          </c:tx>
          <c:spPr>
            <a:ln w="9525" cap="rnd">
              <a:solidFill>
                <a:schemeClr val="accent1"/>
              </a:solidFill>
              <a:round/>
            </a:ln>
            <a:effectLst/>
          </c:spPr>
          <c:cat>
            <c:numRef>
              <c:f>z_tramming_Calc!$B$26:$K$26</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z_tramming_Calc!$B$27:$K$27</c:f>
              <c:numCache>
                <c:formatCode>General</c:formatCode>
                <c:ptCount val="10"/>
                <c:pt idx="0">
                  <c:v>2.3E-2</c:v>
                </c:pt>
                <c:pt idx="1">
                  <c:v>-5.6000000000000001E-2</c:v>
                </c:pt>
                <c:pt idx="2">
                  <c:v>-0.06</c:v>
                </c:pt>
                <c:pt idx="3">
                  <c:v>-5.8500000000000003E-2</c:v>
                </c:pt>
                <c:pt idx="4">
                  <c:v>-7.5249999999999997E-2</c:v>
                </c:pt>
                <c:pt idx="5">
                  <c:v>-8.8999999999999996E-2</c:v>
                </c:pt>
                <c:pt idx="6">
                  <c:v>-9.7000000000000003E-2</c:v>
                </c:pt>
                <c:pt idx="7">
                  <c:v>-9.5250000000000001E-2</c:v>
                </c:pt>
                <c:pt idx="8">
                  <c:v>-0.10249999999999999</c:v>
                </c:pt>
                <c:pt idx="9">
                  <c:v>-0.10825</c:v>
                </c:pt>
              </c:numCache>
            </c:numRef>
          </c:val>
          <c:extLst>
            <c:ext xmlns:c16="http://schemas.microsoft.com/office/drawing/2014/chart" uri="{C3380CC4-5D6E-409C-BE32-E72D297353CC}">
              <c16:uniqueId val="{00000000-ED74-41A4-8E51-9DEAFA25F86C}"/>
            </c:ext>
          </c:extLst>
        </c:ser>
        <c:ser>
          <c:idx val="1"/>
          <c:order val="1"/>
          <c:tx>
            <c:strRef>
              <c:f>z_tramming_Calc!$A$28</c:f>
              <c:strCache>
                <c:ptCount val="1"/>
                <c:pt idx="0">
                  <c:v>33.44</c:v>
                </c:pt>
              </c:strCache>
            </c:strRef>
          </c:tx>
          <c:spPr>
            <a:ln w="9525" cap="rnd">
              <a:solidFill>
                <a:schemeClr val="accent2"/>
              </a:solidFill>
              <a:round/>
            </a:ln>
            <a:effectLst/>
          </c:spPr>
          <c:cat>
            <c:numRef>
              <c:f>z_tramming_Calc!$B$26:$K$26</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z_tramming_Calc!$B$28:$K$28</c:f>
              <c:numCache>
                <c:formatCode>General</c:formatCode>
                <c:ptCount val="10"/>
                <c:pt idx="0">
                  <c:v>6.4000000000000001E-2</c:v>
                </c:pt>
                <c:pt idx="1">
                  <c:v>-1.2E-2</c:v>
                </c:pt>
                <c:pt idx="2">
                  <c:v>-3.7499999999999999E-3</c:v>
                </c:pt>
                <c:pt idx="3">
                  <c:v>-1.2500000000000001E-2</c:v>
                </c:pt>
                <c:pt idx="4">
                  <c:v>-2.4500000000000001E-2</c:v>
                </c:pt>
                <c:pt idx="5">
                  <c:v>-3.5000000000000003E-2</c:v>
                </c:pt>
                <c:pt idx="6">
                  <c:v>-4.4749999999999998E-2</c:v>
                </c:pt>
                <c:pt idx="7">
                  <c:v>-5.3749999999999999E-2</c:v>
                </c:pt>
                <c:pt idx="8">
                  <c:v>-6.3250000000000001E-2</c:v>
                </c:pt>
                <c:pt idx="9">
                  <c:v>-7.2749999999999995E-2</c:v>
                </c:pt>
              </c:numCache>
            </c:numRef>
          </c:val>
          <c:extLst>
            <c:ext xmlns:c16="http://schemas.microsoft.com/office/drawing/2014/chart" uri="{C3380CC4-5D6E-409C-BE32-E72D297353CC}">
              <c16:uniqueId val="{00000001-ED74-41A4-8E51-9DEAFA25F86C}"/>
            </c:ext>
          </c:extLst>
        </c:ser>
        <c:ser>
          <c:idx val="2"/>
          <c:order val="2"/>
          <c:tx>
            <c:strRef>
              <c:f>z_tramming_Calc!$A$29</c:f>
              <c:strCache>
                <c:ptCount val="1"/>
                <c:pt idx="0">
                  <c:v>54.89</c:v>
                </c:pt>
              </c:strCache>
            </c:strRef>
          </c:tx>
          <c:spPr>
            <a:ln w="9525" cap="rnd">
              <a:solidFill>
                <a:schemeClr val="accent3"/>
              </a:solidFill>
              <a:round/>
            </a:ln>
            <a:effectLst/>
          </c:spPr>
          <c:cat>
            <c:numRef>
              <c:f>z_tramming_Calc!$B$26:$K$26</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z_tramming_Calc!$B$29:$K$29</c:f>
              <c:numCache>
                <c:formatCode>General</c:formatCode>
                <c:ptCount val="10"/>
                <c:pt idx="0">
                  <c:v>5.9499999999999997E-2</c:v>
                </c:pt>
                <c:pt idx="1">
                  <c:v>-5.7499999999999999E-3</c:v>
                </c:pt>
                <c:pt idx="2">
                  <c:v>-5.0000000000000001E-4</c:v>
                </c:pt>
                <c:pt idx="3">
                  <c:v>-8.7500000000000008E-3</c:v>
                </c:pt>
                <c:pt idx="4">
                  <c:v>-7.2500000000000004E-3</c:v>
                </c:pt>
                <c:pt idx="5">
                  <c:v>-3.3250000000000002E-2</c:v>
                </c:pt>
                <c:pt idx="6">
                  <c:v>-3.8249999999999999E-2</c:v>
                </c:pt>
                <c:pt idx="7">
                  <c:v>-5.1249999999999997E-2</c:v>
                </c:pt>
                <c:pt idx="8">
                  <c:v>-5.6500000000000002E-2</c:v>
                </c:pt>
                <c:pt idx="9">
                  <c:v>-7.9500000000000001E-2</c:v>
                </c:pt>
              </c:numCache>
            </c:numRef>
          </c:val>
          <c:extLst>
            <c:ext xmlns:c16="http://schemas.microsoft.com/office/drawing/2014/chart" uri="{C3380CC4-5D6E-409C-BE32-E72D297353CC}">
              <c16:uniqueId val="{00000002-ED74-41A4-8E51-9DEAFA25F86C}"/>
            </c:ext>
          </c:extLst>
        </c:ser>
        <c:ser>
          <c:idx val="3"/>
          <c:order val="3"/>
          <c:tx>
            <c:strRef>
              <c:f>z_tramming_Calc!$A$30</c:f>
              <c:strCache>
                <c:ptCount val="1"/>
                <c:pt idx="0">
                  <c:v>76.33</c:v>
                </c:pt>
              </c:strCache>
            </c:strRef>
          </c:tx>
          <c:spPr>
            <a:ln w="9525" cap="rnd">
              <a:solidFill>
                <a:schemeClr val="accent4"/>
              </a:solidFill>
              <a:round/>
            </a:ln>
            <a:effectLst/>
          </c:spPr>
          <c:cat>
            <c:numRef>
              <c:f>z_tramming_Calc!$B$26:$K$26</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z_tramming_Calc!$B$30:$K$30</c:f>
              <c:numCache>
                <c:formatCode>General</c:formatCode>
                <c:ptCount val="10"/>
                <c:pt idx="0">
                  <c:v>7.3999999999999996E-2</c:v>
                </c:pt>
                <c:pt idx="1">
                  <c:v>9.7500000000000003E-2</c:v>
                </c:pt>
                <c:pt idx="2">
                  <c:v>5.3249999999999999E-2</c:v>
                </c:pt>
                <c:pt idx="3">
                  <c:v>9.35E-2</c:v>
                </c:pt>
                <c:pt idx="4">
                  <c:v>3.85E-2</c:v>
                </c:pt>
                <c:pt idx="5">
                  <c:v>5.8000000000000003E-2</c:v>
                </c:pt>
                <c:pt idx="6">
                  <c:v>1.2749999999999999E-2</c:v>
                </c:pt>
                <c:pt idx="7">
                  <c:v>2.6499999999999999E-2</c:v>
                </c:pt>
                <c:pt idx="8">
                  <c:v>-3.0000000000000001E-3</c:v>
                </c:pt>
                <c:pt idx="9">
                  <c:v>1E-3</c:v>
                </c:pt>
              </c:numCache>
            </c:numRef>
          </c:val>
          <c:extLst>
            <c:ext xmlns:c16="http://schemas.microsoft.com/office/drawing/2014/chart" uri="{C3380CC4-5D6E-409C-BE32-E72D297353CC}">
              <c16:uniqueId val="{00000003-ED74-41A4-8E51-9DEAFA25F86C}"/>
            </c:ext>
          </c:extLst>
        </c:ser>
        <c:ser>
          <c:idx val="4"/>
          <c:order val="4"/>
          <c:tx>
            <c:strRef>
              <c:f>z_tramming_Calc!$A$31</c:f>
              <c:strCache>
                <c:ptCount val="1"/>
                <c:pt idx="0">
                  <c:v>97.78</c:v>
                </c:pt>
              </c:strCache>
            </c:strRef>
          </c:tx>
          <c:spPr>
            <a:ln w="9525" cap="rnd">
              <a:solidFill>
                <a:schemeClr val="accent5"/>
              </a:solidFill>
              <a:round/>
            </a:ln>
            <a:effectLst/>
          </c:spPr>
          <c:cat>
            <c:numRef>
              <c:f>z_tramming_Calc!$B$26:$K$26</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z_tramming_Calc!$B$31:$K$31</c:f>
              <c:numCache>
                <c:formatCode>General</c:formatCode>
                <c:ptCount val="10"/>
                <c:pt idx="0">
                  <c:v>8.0500000000000002E-2</c:v>
                </c:pt>
                <c:pt idx="1">
                  <c:v>8.1500000000000003E-2</c:v>
                </c:pt>
                <c:pt idx="2">
                  <c:v>5.1249999999999997E-2</c:v>
                </c:pt>
                <c:pt idx="3">
                  <c:v>6.6750000000000004E-2</c:v>
                </c:pt>
                <c:pt idx="4">
                  <c:v>2.35E-2</c:v>
                </c:pt>
                <c:pt idx="5">
                  <c:v>4.3499999999999997E-2</c:v>
                </c:pt>
                <c:pt idx="6">
                  <c:v>1.2500000000000001E-2</c:v>
                </c:pt>
                <c:pt idx="7">
                  <c:v>3.3500000000000002E-2</c:v>
                </c:pt>
                <c:pt idx="8">
                  <c:v>-1.6E-2</c:v>
                </c:pt>
                <c:pt idx="9">
                  <c:v>8.2500000000000004E-3</c:v>
                </c:pt>
              </c:numCache>
            </c:numRef>
          </c:val>
          <c:extLst>
            <c:ext xmlns:c16="http://schemas.microsoft.com/office/drawing/2014/chart" uri="{C3380CC4-5D6E-409C-BE32-E72D297353CC}">
              <c16:uniqueId val="{00000004-ED74-41A4-8E51-9DEAFA25F86C}"/>
            </c:ext>
          </c:extLst>
        </c:ser>
        <c:ser>
          <c:idx val="5"/>
          <c:order val="5"/>
          <c:tx>
            <c:strRef>
              <c:f>z_tramming_Calc!$A$32</c:f>
              <c:strCache>
                <c:ptCount val="1"/>
                <c:pt idx="0">
                  <c:v>119.22</c:v>
                </c:pt>
              </c:strCache>
            </c:strRef>
          </c:tx>
          <c:spPr>
            <a:ln w="9525" cap="rnd">
              <a:solidFill>
                <a:schemeClr val="accent6"/>
              </a:solidFill>
              <a:round/>
            </a:ln>
            <a:effectLst/>
          </c:spPr>
          <c:cat>
            <c:numRef>
              <c:f>z_tramming_Calc!$B$26:$K$26</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z_tramming_Calc!$B$32:$K$32</c:f>
              <c:numCache>
                <c:formatCode>General</c:formatCode>
                <c:ptCount val="10"/>
                <c:pt idx="0">
                  <c:v>9.6750000000000003E-2</c:v>
                </c:pt>
                <c:pt idx="1">
                  <c:v>0.11125</c:v>
                </c:pt>
                <c:pt idx="2">
                  <c:v>6.3E-2</c:v>
                </c:pt>
                <c:pt idx="3">
                  <c:v>9.8500000000000004E-2</c:v>
                </c:pt>
                <c:pt idx="4">
                  <c:v>4.1250000000000002E-2</c:v>
                </c:pt>
                <c:pt idx="5">
                  <c:v>6.0249999999999998E-2</c:v>
                </c:pt>
                <c:pt idx="6">
                  <c:v>1.575E-2</c:v>
                </c:pt>
                <c:pt idx="7">
                  <c:v>4.5999999999999999E-2</c:v>
                </c:pt>
                <c:pt idx="8">
                  <c:v>-1.0500000000000001E-2</c:v>
                </c:pt>
                <c:pt idx="9">
                  <c:v>1.8749999999999999E-2</c:v>
                </c:pt>
              </c:numCache>
            </c:numRef>
          </c:val>
          <c:extLst>
            <c:ext xmlns:c16="http://schemas.microsoft.com/office/drawing/2014/chart" uri="{C3380CC4-5D6E-409C-BE32-E72D297353CC}">
              <c16:uniqueId val="{00000005-ED74-41A4-8E51-9DEAFA25F86C}"/>
            </c:ext>
          </c:extLst>
        </c:ser>
        <c:ser>
          <c:idx val="6"/>
          <c:order val="6"/>
          <c:tx>
            <c:strRef>
              <c:f>z_tramming_Calc!$A$33</c:f>
              <c:strCache>
                <c:ptCount val="1"/>
                <c:pt idx="0">
                  <c:v>140.67</c:v>
                </c:pt>
              </c:strCache>
            </c:strRef>
          </c:tx>
          <c:spPr>
            <a:ln w="9525" cap="rnd">
              <a:solidFill>
                <a:schemeClr val="accent1">
                  <a:lumMod val="60000"/>
                </a:schemeClr>
              </a:solidFill>
              <a:round/>
            </a:ln>
            <a:effectLst/>
          </c:spPr>
          <c:cat>
            <c:numRef>
              <c:f>z_tramming_Calc!$B$26:$K$26</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z_tramming_Calc!$B$33:$K$33</c:f>
              <c:numCache>
                <c:formatCode>General</c:formatCode>
                <c:ptCount val="10"/>
                <c:pt idx="0">
                  <c:v>0.10050000000000001</c:v>
                </c:pt>
                <c:pt idx="1">
                  <c:v>9.5500000000000002E-2</c:v>
                </c:pt>
                <c:pt idx="2">
                  <c:v>7.1499999999999994E-2</c:v>
                </c:pt>
                <c:pt idx="3">
                  <c:v>8.2250000000000004E-2</c:v>
                </c:pt>
                <c:pt idx="4">
                  <c:v>4.5749999999999999E-2</c:v>
                </c:pt>
                <c:pt idx="5">
                  <c:v>4.7E-2</c:v>
                </c:pt>
                <c:pt idx="6">
                  <c:v>1.6500000000000001E-2</c:v>
                </c:pt>
                <c:pt idx="7">
                  <c:v>2.4250000000000001E-2</c:v>
                </c:pt>
                <c:pt idx="8">
                  <c:v>-1.4500000000000001E-2</c:v>
                </c:pt>
                <c:pt idx="9">
                  <c:v>-9.4999999999999998E-3</c:v>
                </c:pt>
              </c:numCache>
            </c:numRef>
          </c:val>
          <c:extLst>
            <c:ext xmlns:c16="http://schemas.microsoft.com/office/drawing/2014/chart" uri="{C3380CC4-5D6E-409C-BE32-E72D297353CC}">
              <c16:uniqueId val="{00000006-ED74-41A4-8E51-9DEAFA25F86C}"/>
            </c:ext>
          </c:extLst>
        </c:ser>
        <c:ser>
          <c:idx val="7"/>
          <c:order val="7"/>
          <c:tx>
            <c:strRef>
              <c:f>z_tramming_Calc!$A$34</c:f>
              <c:strCache>
                <c:ptCount val="1"/>
                <c:pt idx="0">
                  <c:v>162.11</c:v>
                </c:pt>
              </c:strCache>
            </c:strRef>
          </c:tx>
          <c:spPr>
            <a:ln w="9525" cap="rnd">
              <a:solidFill>
                <a:schemeClr val="accent2">
                  <a:lumMod val="60000"/>
                </a:schemeClr>
              </a:solidFill>
              <a:round/>
            </a:ln>
            <a:effectLst/>
          </c:spPr>
          <c:cat>
            <c:numRef>
              <c:f>z_tramming_Calc!$B$26:$K$26</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z_tramming_Calc!$B$34:$K$34</c:f>
              <c:numCache>
                <c:formatCode>General</c:formatCode>
                <c:ptCount val="10"/>
                <c:pt idx="0">
                  <c:v>7.0000000000000007E-2</c:v>
                </c:pt>
                <c:pt idx="1">
                  <c:v>7.2999999999999995E-2</c:v>
                </c:pt>
                <c:pt idx="2">
                  <c:v>4.4749999999999998E-2</c:v>
                </c:pt>
                <c:pt idx="3">
                  <c:v>5.7250000000000002E-2</c:v>
                </c:pt>
                <c:pt idx="4">
                  <c:v>1.8499999999999999E-2</c:v>
                </c:pt>
                <c:pt idx="5">
                  <c:v>0.02</c:v>
                </c:pt>
                <c:pt idx="6">
                  <c:v>-1.7500000000000002E-2</c:v>
                </c:pt>
                <c:pt idx="7">
                  <c:v>-1.4E-2</c:v>
                </c:pt>
                <c:pt idx="8">
                  <c:v>-5.45E-2</c:v>
                </c:pt>
                <c:pt idx="9">
                  <c:v>-4.8500000000000001E-2</c:v>
                </c:pt>
              </c:numCache>
            </c:numRef>
          </c:val>
          <c:extLst>
            <c:ext xmlns:c16="http://schemas.microsoft.com/office/drawing/2014/chart" uri="{C3380CC4-5D6E-409C-BE32-E72D297353CC}">
              <c16:uniqueId val="{00000007-ED74-41A4-8E51-9DEAFA25F86C}"/>
            </c:ext>
          </c:extLst>
        </c:ser>
        <c:ser>
          <c:idx val="8"/>
          <c:order val="8"/>
          <c:tx>
            <c:strRef>
              <c:f>z_tramming_Calc!$A$35</c:f>
              <c:strCache>
                <c:ptCount val="1"/>
                <c:pt idx="0">
                  <c:v>183.56</c:v>
                </c:pt>
              </c:strCache>
            </c:strRef>
          </c:tx>
          <c:spPr>
            <a:ln w="9525" cap="rnd">
              <a:solidFill>
                <a:schemeClr val="accent3">
                  <a:lumMod val="60000"/>
                </a:schemeClr>
              </a:solidFill>
              <a:round/>
            </a:ln>
            <a:effectLst/>
          </c:spPr>
          <c:cat>
            <c:numRef>
              <c:f>z_tramming_Calc!$B$26:$K$26</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z_tramming_Calc!$B$35:$K$35</c:f>
              <c:numCache>
                <c:formatCode>General</c:formatCode>
                <c:ptCount val="10"/>
                <c:pt idx="0">
                  <c:v>-7.0000000000000001E-3</c:v>
                </c:pt>
                <c:pt idx="1">
                  <c:v>-7.2500000000000004E-3</c:v>
                </c:pt>
                <c:pt idx="2">
                  <c:v>-4.0750000000000001E-2</c:v>
                </c:pt>
                <c:pt idx="3">
                  <c:v>-3.4750000000000003E-2</c:v>
                </c:pt>
                <c:pt idx="4">
                  <c:v>-7.9750000000000001E-2</c:v>
                </c:pt>
                <c:pt idx="5">
                  <c:v>-7.3499999999999996E-2</c:v>
                </c:pt>
                <c:pt idx="6">
                  <c:v>-0.115</c:v>
                </c:pt>
                <c:pt idx="7">
                  <c:v>-0.10349999999999999</c:v>
                </c:pt>
                <c:pt idx="8">
                  <c:v>-0.15175</c:v>
                </c:pt>
                <c:pt idx="9">
                  <c:v>-0.13475000000000001</c:v>
                </c:pt>
              </c:numCache>
            </c:numRef>
          </c:val>
          <c:extLst>
            <c:ext xmlns:c16="http://schemas.microsoft.com/office/drawing/2014/chart" uri="{C3380CC4-5D6E-409C-BE32-E72D297353CC}">
              <c16:uniqueId val="{00000008-ED74-41A4-8E51-9DEAFA25F86C}"/>
            </c:ext>
          </c:extLst>
        </c:ser>
        <c:ser>
          <c:idx val="9"/>
          <c:order val="9"/>
          <c:tx>
            <c:strRef>
              <c:f>z_tramming_Calc!$A$36</c:f>
              <c:strCache>
                <c:ptCount val="1"/>
                <c:pt idx="0">
                  <c:v>205.00</c:v>
                </c:pt>
              </c:strCache>
            </c:strRef>
          </c:tx>
          <c:spPr>
            <a:ln w="9525" cap="rnd">
              <a:solidFill>
                <a:schemeClr val="accent4">
                  <a:lumMod val="60000"/>
                </a:schemeClr>
              </a:solidFill>
              <a:round/>
            </a:ln>
            <a:effectLst/>
          </c:spPr>
          <c:cat>
            <c:numRef>
              <c:f>z_tramming_Calc!$B$26:$K$26</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z_tramming_Calc!$B$36:$K$36</c:f>
              <c:numCache>
                <c:formatCode>General</c:formatCode>
                <c:ptCount val="10"/>
                <c:pt idx="0">
                  <c:v>-0.10174999999999999</c:v>
                </c:pt>
                <c:pt idx="1">
                  <c:v>-0.13350000000000001</c:v>
                </c:pt>
                <c:pt idx="2">
                  <c:v>-0.14699999999999999</c:v>
                </c:pt>
                <c:pt idx="3">
                  <c:v>-0.16850000000000001</c:v>
                </c:pt>
                <c:pt idx="4">
                  <c:v>-0.19375000000000001</c:v>
                </c:pt>
                <c:pt idx="5">
                  <c:v>-0.214</c:v>
                </c:pt>
                <c:pt idx="6">
                  <c:v>-0.23275000000000001</c:v>
                </c:pt>
                <c:pt idx="7">
                  <c:v>-0.2485</c:v>
                </c:pt>
                <c:pt idx="8">
                  <c:v>-0.26050000000000001</c:v>
                </c:pt>
                <c:pt idx="9">
                  <c:v>-0.26750000000000002</c:v>
                </c:pt>
              </c:numCache>
            </c:numRef>
          </c:val>
          <c:extLst>
            <c:ext xmlns:c16="http://schemas.microsoft.com/office/drawing/2014/chart" uri="{C3380CC4-5D6E-409C-BE32-E72D297353CC}">
              <c16:uniqueId val="{00000009-ED74-41A4-8E51-9DEAFA25F86C}"/>
            </c:ext>
          </c:extLst>
        </c:ser>
        <c:bandFmts>
          <c:bandFmt>
            <c:idx val="0"/>
            <c:spPr>
              <a:ln w="9525" cap="rnd">
                <a:solidFill>
                  <a:schemeClr val="accent1"/>
                </a:solidFill>
                <a:round/>
              </a:ln>
              <a:effectLst/>
            </c:spPr>
          </c:bandFmt>
          <c:bandFmt>
            <c:idx val="1"/>
            <c:spPr>
              <a:ln w="9525" cap="rnd">
                <a:solidFill>
                  <a:schemeClr val="accent2"/>
                </a:solidFill>
                <a:round/>
              </a:ln>
              <a:effectLst/>
            </c:spPr>
          </c:bandFmt>
          <c:bandFmt>
            <c:idx val="2"/>
            <c:spPr>
              <a:ln w="9525" cap="rnd">
                <a:solidFill>
                  <a:schemeClr val="accent3"/>
                </a:solidFill>
                <a:round/>
              </a:ln>
              <a:effectLst/>
            </c:spPr>
          </c:bandFmt>
          <c:bandFmt>
            <c:idx val="3"/>
            <c:spPr>
              <a:ln w="9525" cap="rnd">
                <a:solidFill>
                  <a:schemeClr val="accent4"/>
                </a:solidFill>
                <a:round/>
              </a:ln>
              <a:effectLst/>
            </c:spPr>
          </c:bandFmt>
          <c:bandFmt>
            <c:idx val="4"/>
            <c:spPr>
              <a:ln w="9525" cap="rnd">
                <a:solidFill>
                  <a:schemeClr val="accent5"/>
                </a:solidFill>
                <a:round/>
              </a:ln>
              <a:effectLst/>
            </c:spPr>
          </c:bandFmt>
          <c:bandFmt>
            <c:idx val="5"/>
            <c:spPr>
              <a:ln w="9525" cap="rnd">
                <a:solidFill>
                  <a:schemeClr val="accent6"/>
                </a:solidFill>
                <a:round/>
              </a:ln>
              <a:effectLst/>
            </c:spPr>
          </c:bandFmt>
          <c:bandFmt>
            <c:idx val="6"/>
            <c:spPr>
              <a:ln w="9525" cap="rnd">
                <a:solidFill>
                  <a:schemeClr val="accent1">
                    <a:lumMod val="60000"/>
                  </a:schemeClr>
                </a:solidFill>
                <a:round/>
              </a:ln>
              <a:effectLst/>
            </c:spPr>
          </c:bandFmt>
          <c:bandFmt>
            <c:idx val="7"/>
            <c:spPr>
              <a:ln w="9525" cap="rnd">
                <a:solidFill>
                  <a:schemeClr val="accent2">
                    <a:lumMod val="60000"/>
                  </a:schemeClr>
                </a:solidFill>
                <a:round/>
              </a:ln>
              <a:effectLst/>
            </c:spPr>
          </c:bandFmt>
          <c:bandFmt>
            <c:idx val="8"/>
            <c:spPr>
              <a:ln w="9525" cap="rnd">
                <a:solidFill>
                  <a:schemeClr val="accent3">
                    <a:lumMod val="60000"/>
                  </a:schemeClr>
                </a:solidFill>
                <a:round/>
              </a:ln>
              <a:effectLst/>
            </c:spPr>
          </c:bandFmt>
          <c:bandFmt>
            <c:idx val="9"/>
            <c:spPr>
              <a:ln w="9525" cap="rnd">
                <a:solidFill>
                  <a:schemeClr val="accent4">
                    <a:lumMod val="60000"/>
                  </a:schemeClr>
                </a:solidFill>
                <a:round/>
              </a:ln>
              <a:effectLst/>
            </c:spPr>
          </c:bandFmt>
          <c:bandFmt>
            <c:idx val="10"/>
            <c:spPr>
              <a:ln w="9525" cap="rnd">
                <a:solidFill>
                  <a:schemeClr val="accent5">
                    <a:lumMod val="60000"/>
                  </a:schemeClr>
                </a:solidFill>
                <a:round/>
              </a:ln>
              <a:effectLst/>
            </c:spPr>
          </c:bandFmt>
          <c:bandFmt>
            <c:idx val="11"/>
            <c:spPr>
              <a:ln w="9525" cap="rnd">
                <a:solidFill>
                  <a:schemeClr val="accent6">
                    <a:lumMod val="60000"/>
                  </a:schemeClr>
                </a:solidFill>
                <a:round/>
              </a:ln>
              <a:effectLst/>
            </c:spPr>
          </c:bandFmt>
          <c:bandFmt>
            <c:idx val="12"/>
            <c:spPr>
              <a:ln w="9525" cap="rnd">
                <a:solidFill>
                  <a:schemeClr val="accent1">
                    <a:lumMod val="80000"/>
                    <a:lumOff val="20000"/>
                  </a:schemeClr>
                </a:solidFill>
                <a:round/>
              </a:ln>
              <a:effectLst/>
            </c:spPr>
          </c:bandFmt>
          <c:bandFmt>
            <c:idx val="13"/>
            <c:spPr>
              <a:ln w="9525" cap="rnd">
                <a:solidFill>
                  <a:schemeClr val="accent2">
                    <a:lumMod val="80000"/>
                    <a:lumOff val="20000"/>
                  </a:schemeClr>
                </a:solidFill>
                <a:round/>
              </a:ln>
              <a:effectLst/>
            </c:spPr>
          </c:bandFmt>
          <c:bandFmt>
            <c:idx val="14"/>
            <c:spPr>
              <a:ln w="9525" cap="rnd">
                <a:solidFill>
                  <a:schemeClr val="accent3">
                    <a:lumMod val="80000"/>
                    <a:lumOff val="20000"/>
                  </a:schemeClr>
                </a:solidFill>
                <a:round/>
              </a:ln>
              <a:effectLst/>
            </c:spPr>
          </c:bandFmt>
        </c:bandFmts>
        <c:axId val="58924399"/>
        <c:axId val="58925359"/>
        <c:axId val="865652207"/>
      </c:surfaceChart>
      <c:catAx>
        <c:axId val="58924399"/>
        <c:scaling>
          <c:orientation val="minMax"/>
        </c:scaling>
        <c:delete val="0"/>
        <c:axPos val="b"/>
        <c:numFmt formatCode="0.00"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925359"/>
        <c:crosses val="autoZero"/>
        <c:auto val="1"/>
        <c:lblAlgn val="ctr"/>
        <c:lblOffset val="100"/>
        <c:noMultiLvlLbl val="0"/>
      </c:catAx>
      <c:valAx>
        <c:axId val="589253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924399"/>
        <c:crosses val="autoZero"/>
        <c:crossBetween val="midCat"/>
        <c:majorUnit val="5.000000000000001E-2"/>
      </c:valAx>
      <c:serAx>
        <c:axId val="865652207"/>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925359"/>
        <c:crosses val="autoZero"/>
      </c:ser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"Flat"</a:t>
            </a:r>
            <a:r>
              <a:rPr lang="en-US" b="1" baseline="0"/>
              <a:t> Mesh per Bed Mesh Calibration</a:t>
            </a:r>
            <a:endParaRPr lang="en-US" b="1"/>
          </a:p>
        </c:rich>
      </c:tx>
      <c:layout>
        <c:manualLayout>
          <c:xMode val="edge"/>
          <c:yMode val="edge"/>
          <c:x val="0.25072468027630135"/>
          <c:y val="3.8034852992237585E-2"/>
        </c:manualLayout>
      </c:layout>
      <c:overlay val="0"/>
      <c:spPr>
        <a:noFill/>
        <a:ln>
          <a:noFill/>
        </a:ln>
        <a:effectLst/>
      </c:spPr>
    </c:title>
    <c:autoTitleDeleted val="0"/>
    <c:view3D>
      <c:rotX val="90"/>
      <c:rotY val="0"/>
      <c:rAngAx val="0"/>
      <c:perspective val="0"/>
    </c:view3D>
    <c:floor>
      <c:thickness val="0"/>
      <c:spPr>
        <a:solidFill>
          <a:schemeClr val="tx1"/>
        </a:solidFill>
        <a:ln w="6350" cap="flat" cmpd="sng" algn="ctr">
          <a:noFill/>
          <a:prstDash val="solid"/>
          <a:round/>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1163070265071823E-2"/>
          <c:y val="0.12404679007537195"/>
          <c:w val="0.88287171164673117"/>
          <c:h val="0.62135342971231411"/>
        </c:manualLayout>
      </c:layout>
      <c:surfaceChart>
        <c:wireframe val="1"/>
        <c:ser>
          <c:idx val="0"/>
          <c:order val="0"/>
          <c:tx>
            <c:strRef>
              <c:f>z_tramming_Calc!$A$47</c:f>
              <c:strCache>
                <c:ptCount val="1"/>
                <c:pt idx="0">
                  <c:v>12.00</c:v>
                </c:pt>
              </c:strCache>
            </c:strRef>
          </c:tx>
          <c:spPr>
            <a:ln/>
            <a:effectLst/>
          </c:spPr>
          <c:cat>
            <c:numRef>
              <c:f>z_tramming_Calc!$B$46:$K$46</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z_tramming_Calc!$B$47:$K$47</c:f>
              <c:numCache>
                <c:formatCode>0.000000</c:formatCode>
                <c:ptCount val="10"/>
                <c:pt idx="0">
                  <c:v>-3.5416999999999997E-2</c:v>
                </c:pt>
                <c:pt idx="1">
                  <c:v>-5.4167E-2</c:v>
                </c:pt>
                <c:pt idx="2">
                  <c:v>-0.111667</c:v>
                </c:pt>
                <c:pt idx="3">
                  <c:v>-0.1</c:v>
                </c:pt>
                <c:pt idx="4">
                  <c:v>-0.129583</c:v>
                </c:pt>
                <c:pt idx="5">
                  <c:v>-0.10875</c:v>
                </c:pt>
                <c:pt idx="6">
                  <c:v>-0.11708300000000001</c:v>
                </c:pt>
                <c:pt idx="7">
                  <c:v>-0.11125</c:v>
                </c:pt>
                <c:pt idx="8">
                  <c:v>-0.104167</c:v>
                </c:pt>
                <c:pt idx="9">
                  <c:v>-9.1666999999999998E-2</c:v>
                </c:pt>
              </c:numCache>
            </c:numRef>
          </c:val>
          <c:extLst>
            <c:ext xmlns:c16="http://schemas.microsoft.com/office/drawing/2014/chart" uri="{C3380CC4-5D6E-409C-BE32-E72D297353CC}">
              <c16:uniqueId val="{00000000-D01C-4857-B37D-972992DCC298}"/>
            </c:ext>
          </c:extLst>
        </c:ser>
        <c:ser>
          <c:idx val="1"/>
          <c:order val="1"/>
          <c:tx>
            <c:strRef>
              <c:f>z_tramming_Calc!$A$48</c:f>
              <c:strCache>
                <c:ptCount val="1"/>
                <c:pt idx="0">
                  <c:v>33.44</c:v>
                </c:pt>
              </c:strCache>
            </c:strRef>
          </c:tx>
          <c:spPr>
            <a:ln/>
            <a:effectLst/>
          </c:spPr>
          <c:cat>
            <c:numRef>
              <c:f>z_tramming_Calc!$B$46:$K$46</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z_tramming_Calc!$B$48:$K$48</c:f>
              <c:numCache>
                <c:formatCode>0.000000</c:formatCode>
                <c:ptCount val="10"/>
                <c:pt idx="0">
                  <c:v>-3.9167E-2</c:v>
                </c:pt>
                <c:pt idx="1">
                  <c:v>-4.2083000000000002E-2</c:v>
                </c:pt>
                <c:pt idx="2">
                  <c:v>-0.1</c:v>
                </c:pt>
                <c:pt idx="3">
                  <c:v>-8.6249999999999993E-2</c:v>
                </c:pt>
                <c:pt idx="4">
                  <c:v>-0.104167</c:v>
                </c:pt>
                <c:pt idx="5">
                  <c:v>-9.375E-2</c:v>
                </c:pt>
                <c:pt idx="6">
                  <c:v>-0.104167</c:v>
                </c:pt>
                <c:pt idx="7">
                  <c:v>-9.0832999999999997E-2</c:v>
                </c:pt>
                <c:pt idx="8">
                  <c:v>-8.0833000000000002E-2</c:v>
                </c:pt>
                <c:pt idx="9">
                  <c:v>-9.0832999999999997E-2</c:v>
                </c:pt>
              </c:numCache>
            </c:numRef>
          </c:val>
          <c:extLst>
            <c:ext xmlns:c16="http://schemas.microsoft.com/office/drawing/2014/chart" uri="{C3380CC4-5D6E-409C-BE32-E72D297353CC}">
              <c16:uniqueId val="{00000001-D01C-4857-B37D-972992DCC298}"/>
            </c:ext>
          </c:extLst>
        </c:ser>
        <c:ser>
          <c:idx val="2"/>
          <c:order val="2"/>
          <c:tx>
            <c:strRef>
              <c:f>z_tramming_Calc!$A$49</c:f>
              <c:strCache>
                <c:ptCount val="1"/>
                <c:pt idx="0">
                  <c:v>54.89</c:v>
                </c:pt>
              </c:strCache>
            </c:strRef>
          </c:tx>
          <c:spPr>
            <a:ln/>
            <a:effectLst/>
          </c:spPr>
          <c:cat>
            <c:numRef>
              <c:f>z_tramming_Calc!$B$46:$K$46</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z_tramming_Calc!$B$49:$K$49</c:f>
              <c:numCache>
                <c:formatCode>0.000000</c:formatCode>
                <c:ptCount val="10"/>
                <c:pt idx="0">
                  <c:v>1.0833000000000001E-2</c:v>
                </c:pt>
                <c:pt idx="1">
                  <c:v>1.2500000000000001E-2</c:v>
                </c:pt>
                <c:pt idx="2">
                  <c:v>-4.5832999999999999E-2</c:v>
                </c:pt>
                <c:pt idx="3">
                  <c:v>-4.4166999999999998E-2</c:v>
                </c:pt>
                <c:pt idx="4">
                  <c:v>-7.6249999999999998E-2</c:v>
                </c:pt>
                <c:pt idx="5">
                  <c:v>-6.3333E-2</c:v>
                </c:pt>
                <c:pt idx="6">
                  <c:v>-8.5417000000000007E-2</c:v>
                </c:pt>
                <c:pt idx="7">
                  <c:v>-7.2916999999999996E-2</c:v>
                </c:pt>
                <c:pt idx="8">
                  <c:v>-7.4582999999999997E-2</c:v>
                </c:pt>
                <c:pt idx="9">
                  <c:v>-4.0417000000000002E-2</c:v>
                </c:pt>
              </c:numCache>
            </c:numRef>
          </c:val>
          <c:extLst>
            <c:ext xmlns:c16="http://schemas.microsoft.com/office/drawing/2014/chart" uri="{C3380CC4-5D6E-409C-BE32-E72D297353CC}">
              <c16:uniqueId val="{00000002-D01C-4857-B37D-972992DCC298}"/>
            </c:ext>
          </c:extLst>
        </c:ser>
        <c:ser>
          <c:idx val="3"/>
          <c:order val="3"/>
          <c:tx>
            <c:strRef>
              <c:f>z_tramming_Calc!$A$50</c:f>
              <c:strCache>
                <c:ptCount val="1"/>
                <c:pt idx="0">
                  <c:v>76.33</c:v>
                </c:pt>
              </c:strCache>
            </c:strRef>
          </c:tx>
          <c:spPr>
            <a:ln/>
            <a:effectLst/>
          </c:spPr>
          <c:cat>
            <c:numRef>
              <c:f>z_tramming_Calc!$B$46:$K$46</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z_tramming_Calc!$B$50:$K$50</c:f>
              <c:numCache>
                <c:formatCode>0.000000</c:formatCode>
                <c:ptCount val="10"/>
                <c:pt idx="0">
                  <c:v>1.9583E-2</c:v>
                </c:pt>
                <c:pt idx="1">
                  <c:v>9.5829999999999995E-3</c:v>
                </c:pt>
                <c:pt idx="2">
                  <c:v>-2.7917000000000001E-2</c:v>
                </c:pt>
                <c:pt idx="3">
                  <c:v>-1.7916999999999999E-2</c:v>
                </c:pt>
                <c:pt idx="4">
                  <c:v>-5.5417000000000001E-2</c:v>
                </c:pt>
                <c:pt idx="5">
                  <c:v>-4.5416999999999999E-2</c:v>
                </c:pt>
                <c:pt idx="6">
                  <c:v>-7.0000000000000007E-2</c:v>
                </c:pt>
                <c:pt idx="7">
                  <c:v>-5.9582999999999997E-2</c:v>
                </c:pt>
                <c:pt idx="8">
                  <c:v>-6.8333000000000005E-2</c:v>
                </c:pt>
                <c:pt idx="9">
                  <c:v>-1.7916999999999999E-2</c:v>
                </c:pt>
              </c:numCache>
            </c:numRef>
          </c:val>
          <c:extLst>
            <c:ext xmlns:c16="http://schemas.microsoft.com/office/drawing/2014/chart" uri="{C3380CC4-5D6E-409C-BE32-E72D297353CC}">
              <c16:uniqueId val="{00000003-D01C-4857-B37D-972992DCC298}"/>
            </c:ext>
          </c:extLst>
        </c:ser>
        <c:ser>
          <c:idx val="4"/>
          <c:order val="4"/>
          <c:tx>
            <c:strRef>
              <c:f>z_tramming_Calc!$A$51</c:f>
              <c:strCache>
                <c:ptCount val="1"/>
                <c:pt idx="0">
                  <c:v>97.78</c:v>
                </c:pt>
              </c:strCache>
            </c:strRef>
          </c:tx>
          <c:spPr>
            <a:ln/>
            <a:effectLst/>
          </c:spPr>
          <c:cat>
            <c:numRef>
              <c:f>z_tramming_Calc!$B$46:$K$46</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z_tramming_Calc!$B$51:$K$51</c:f>
              <c:numCache>
                <c:formatCode>0.000000</c:formatCode>
                <c:ptCount val="10"/>
                <c:pt idx="0">
                  <c:v>3.5832999999999997E-2</c:v>
                </c:pt>
                <c:pt idx="1">
                  <c:v>3.0832999999999999E-2</c:v>
                </c:pt>
                <c:pt idx="2">
                  <c:v>-5.0000000000000001E-3</c:v>
                </c:pt>
                <c:pt idx="3">
                  <c:v>-8.3299999999999997E-4</c:v>
                </c:pt>
                <c:pt idx="4">
                  <c:v>-4.6667E-2</c:v>
                </c:pt>
                <c:pt idx="5">
                  <c:v>-4.1250000000000002E-2</c:v>
                </c:pt>
                <c:pt idx="6">
                  <c:v>-7.1666999999999995E-2</c:v>
                </c:pt>
                <c:pt idx="7">
                  <c:v>-6.2082999999999999E-2</c:v>
                </c:pt>
                <c:pt idx="8">
                  <c:v>-6.7083000000000004E-2</c:v>
                </c:pt>
                <c:pt idx="9">
                  <c:v>-1.7916999999999999E-2</c:v>
                </c:pt>
              </c:numCache>
            </c:numRef>
          </c:val>
          <c:extLst>
            <c:ext xmlns:c16="http://schemas.microsoft.com/office/drawing/2014/chart" uri="{C3380CC4-5D6E-409C-BE32-E72D297353CC}">
              <c16:uniqueId val="{00000004-D01C-4857-B37D-972992DCC298}"/>
            </c:ext>
          </c:extLst>
        </c:ser>
        <c:ser>
          <c:idx val="5"/>
          <c:order val="5"/>
          <c:tx>
            <c:strRef>
              <c:f>z_tramming_Calc!$A$52</c:f>
              <c:strCache>
                <c:ptCount val="1"/>
                <c:pt idx="0">
                  <c:v>119.22</c:v>
                </c:pt>
              </c:strCache>
            </c:strRef>
          </c:tx>
          <c:spPr>
            <a:ln/>
            <a:effectLst/>
          </c:spPr>
          <c:cat>
            <c:numRef>
              <c:f>z_tramming_Calc!$B$46:$K$46</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z_tramming_Calc!$B$52:$K$52</c:f>
              <c:numCache>
                <c:formatCode>0.000000</c:formatCode>
                <c:ptCount val="10"/>
                <c:pt idx="0">
                  <c:v>4.4582999999999998E-2</c:v>
                </c:pt>
                <c:pt idx="1">
                  <c:v>3.0417E-2</c:v>
                </c:pt>
                <c:pt idx="2">
                  <c:v>-7.4999999999999997E-3</c:v>
                </c:pt>
                <c:pt idx="3">
                  <c:v>-6.6670000000000002E-3</c:v>
                </c:pt>
                <c:pt idx="4">
                  <c:v>-6.0832999999999998E-2</c:v>
                </c:pt>
                <c:pt idx="5">
                  <c:v>-5.3332999999999998E-2</c:v>
                </c:pt>
                <c:pt idx="6">
                  <c:v>-7.2499999999999995E-2</c:v>
                </c:pt>
                <c:pt idx="7">
                  <c:v>-6.6667000000000004E-2</c:v>
                </c:pt>
                <c:pt idx="8">
                  <c:v>-5.8749999999999997E-2</c:v>
                </c:pt>
                <c:pt idx="9">
                  <c:v>-1.4583E-2</c:v>
                </c:pt>
              </c:numCache>
            </c:numRef>
          </c:val>
          <c:extLst>
            <c:ext xmlns:c16="http://schemas.microsoft.com/office/drawing/2014/chart" uri="{C3380CC4-5D6E-409C-BE32-E72D297353CC}">
              <c16:uniqueId val="{00000005-D01C-4857-B37D-972992DCC298}"/>
            </c:ext>
          </c:extLst>
        </c:ser>
        <c:ser>
          <c:idx val="6"/>
          <c:order val="6"/>
          <c:tx>
            <c:strRef>
              <c:f>z_tramming_Calc!$A$53</c:f>
              <c:strCache>
                <c:ptCount val="1"/>
                <c:pt idx="0">
                  <c:v>140.67</c:v>
                </c:pt>
              </c:strCache>
            </c:strRef>
          </c:tx>
          <c:spPr>
            <a:ln/>
            <a:effectLst/>
          </c:spPr>
          <c:cat>
            <c:numRef>
              <c:f>z_tramming_Calc!$B$46:$K$46</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z_tramming_Calc!$B$53:$K$53</c:f>
              <c:numCache>
                <c:formatCode>0.000000</c:formatCode>
                <c:ptCount val="10"/>
                <c:pt idx="0">
                  <c:v>3.875E-2</c:v>
                </c:pt>
                <c:pt idx="1">
                  <c:v>3.1667000000000001E-2</c:v>
                </c:pt>
                <c:pt idx="2">
                  <c:v>-6.6670000000000002E-3</c:v>
                </c:pt>
                <c:pt idx="3">
                  <c:v>-1.6670000000000001E-3</c:v>
                </c:pt>
                <c:pt idx="4">
                  <c:v>-4.2500000000000003E-2</c:v>
                </c:pt>
                <c:pt idx="5">
                  <c:v>-4.1250000000000002E-2</c:v>
                </c:pt>
                <c:pt idx="6">
                  <c:v>-6.7917000000000005E-2</c:v>
                </c:pt>
                <c:pt idx="7">
                  <c:v>-6.9167000000000006E-2</c:v>
                </c:pt>
                <c:pt idx="8">
                  <c:v>-6.6667000000000004E-2</c:v>
                </c:pt>
                <c:pt idx="9">
                  <c:v>-2.5000000000000001E-2</c:v>
                </c:pt>
              </c:numCache>
            </c:numRef>
          </c:val>
          <c:extLst>
            <c:ext xmlns:c16="http://schemas.microsoft.com/office/drawing/2014/chart" uri="{C3380CC4-5D6E-409C-BE32-E72D297353CC}">
              <c16:uniqueId val="{00000006-D01C-4857-B37D-972992DCC298}"/>
            </c:ext>
          </c:extLst>
        </c:ser>
        <c:ser>
          <c:idx val="7"/>
          <c:order val="7"/>
          <c:tx>
            <c:strRef>
              <c:f>z_tramming_Calc!$A$54</c:f>
              <c:strCache>
                <c:ptCount val="1"/>
                <c:pt idx="0">
                  <c:v>162.11</c:v>
                </c:pt>
              </c:strCache>
            </c:strRef>
          </c:tx>
          <c:spPr>
            <a:ln/>
            <a:effectLst/>
          </c:spPr>
          <c:cat>
            <c:numRef>
              <c:f>z_tramming_Calc!$B$46:$K$46</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z_tramming_Calc!$B$54:$K$54</c:f>
              <c:numCache>
                <c:formatCode>0.000000</c:formatCode>
                <c:ptCount val="10"/>
                <c:pt idx="0">
                  <c:v>3.3750000000000002E-2</c:v>
                </c:pt>
                <c:pt idx="1">
                  <c:v>1.7500000000000002E-2</c:v>
                </c:pt>
                <c:pt idx="2">
                  <c:v>-2.2499999999999999E-2</c:v>
                </c:pt>
                <c:pt idx="3">
                  <c:v>-5.4169999999999999E-3</c:v>
                </c:pt>
                <c:pt idx="4">
                  <c:v>-4.2083000000000002E-2</c:v>
                </c:pt>
                <c:pt idx="5">
                  <c:v>-4.2500000000000003E-2</c:v>
                </c:pt>
                <c:pt idx="6">
                  <c:v>-7.6249999999999998E-2</c:v>
                </c:pt>
                <c:pt idx="7">
                  <c:v>-7.5832999999999998E-2</c:v>
                </c:pt>
                <c:pt idx="8">
                  <c:v>-6.8333000000000005E-2</c:v>
                </c:pt>
                <c:pt idx="9">
                  <c:v>-3.0417E-2</c:v>
                </c:pt>
              </c:numCache>
            </c:numRef>
          </c:val>
          <c:extLst>
            <c:ext xmlns:c16="http://schemas.microsoft.com/office/drawing/2014/chart" uri="{C3380CC4-5D6E-409C-BE32-E72D297353CC}">
              <c16:uniqueId val="{00000007-D01C-4857-B37D-972992DCC298}"/>
            </c:ext>
          </c:extLst>
        </c:ser>
        <c:ser>
          <c:idx val="8"/>
          <c:order val="8"/>
          <c:tx>
            <c:strRef>
              <c:f>z_tramming_Calc!$A$55</c:f>
              <c:strCache>
                <c:ptCount val="1"/>
                <c:pt idx="0">
                  <c:v>183.56</c:v>
                </c:pt>
              </c:strCache>
            </c:strRef>
          </c:tx>
          <c:spPr>
            <a:ln/>
            <a:effectLst/>
          </c:spPr>
          <c:cat>
            <c:numRef>
              <c:f>z_tramming_Calc!$B$46:$K$46</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z_tramming_Calc!$B$55:$K$55</c:f>
              <c:numCache>
                <c:formatCode>0.000000</c:formatCode>
                <c:ptCount val="10"/>
                <c:pt idx="0">
                  <c:v>8.3299999999999997E-4</c:v>
                </c:pt>
                <c:pt idx="1">
                  <c:v>-7.4999999999999997E-3</c:v>
                </c:pt>
                <c:pt idx="2">
                  <c:v>-3.875E-2</c:v>
                </c:pt>
                <c:pt idx="3">
                  <c:v>-2.0417000000000001E-2</c:v>
                </c:pt>
                <c:pt idx="4">
                  <c:v>-4.7500000000000001E-2</c:v>
                </c:pt>
                <c:pt idx="5">
                  <c:v>-4.7083E-2</c:v>
                </c:pt>
                <c:pt idx="6">
                  <c:v>-7.3332999999999995E-2</c:v>
                </c:pt>
                <c:pt idx="7">
                  <c:v>-7.8750000000000001E-2</c:v>
                </c:pt>
                <c:pt idx="8">
                  <c:v>-8.6249999999999993E-2</c:v>
                </c:pt>
                <c:pt idx="9">
                  <c:v>-3.5832999999999997E-2</c:v>
                </c:pt>
              </c:numCache>
            </c:numRef>
          </c:val>
          <c:extLst>
            <c:ext xmlns:c16="http://schemas.microsoft.com/office/drawing/2014/chart" uri="{C3380CC4-5D6E-409C-BE32-E72D297353CC}">
              <c16:uniqueId val="{00000008-D01C-4857-B37D-972992DCC298}"/>
            </c:ext>
          </c:extLst>
        </c:ser>
        <c:ser>
          <c:idx val="9"/>
          <c:order val="9"/>
          <c:tx>
            <c:strRef>
              <c:f>z_tramming_Calc!$A$56</c:f>
              <c:strCache>
                <c:ptCount val="1"/>
                <c:pt idx="0">
                  <c:v>205.00</c:v>
                </c:pt>
              </c:strCache>
            </c:strRef>
          </c:tx>
          <c:spPr>
            <a:ln/>
            <a:effectLst/>
          </c:spPr>
          <c:cat>
            <c:numRef>
              <c:f>z_tramming_Calc!$B$46:$K$46</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z_tramming_Calc!$B$56:$K$56</c:f>
              <c:numCache>
                <c:formatCode>0.000000</c:formatCode>
                <c:ptCount val="10"/>
                <c:pt idx="0">
                  <c:v>1.5833E-2</c:v>
                </c:pt>
                <c:pt idx="1">
                  <c:v>9.5829999999999995E-3</c:v>
                </c:pt>
                <c:pt idx="2">
                  <c:v>-0.01</c:v>
                </c:pt>
                <c:pt idx="3">
                  <c:v>1.2500000000000001E-2</c:v>
                </c:pt>
                <c:pt idx="4">
                  <c:v>-3.7082999999999998E-2</c:v>
                </c:pt>
                <c:pt idx="5">
                  <c:v>-0.04</c:v>
                </c:pt>
                <c:pt idx="6">
                  <c:v>-6.5000000000000002E-2</c:v>
                </c:pt>
                <c:pt idx="7">
                  <c:v>-7.7499999999999999E-2</c:v>
                </c:pt>
                <c:pt idx="8">
                  <c:v>-8.4167000000000006E-2</c:v>
                </c:pt>
                <c:pt idx="9">
                  <c:v>-2.6667E-2</c:v>
                </c:pt>
              </c:numCache>
            </c:numRef>
          </c:val>
          <c:extLst>
            <c:ext xmlns:c16="http://schemas.microsoft.com/office/drawing/2014/chart" uri="{C3380CC4-5D6E-409C-BE32-E72D297353CC}">
              <c16:uniqueId val="{00000009-D01C-4857-B37D-972992DCC298}"/>
            </c:ext>
          </c:extLst>
        </c:ser>
        <c:bandFmts>
          <c:bandFmt>
            <c:idx val="0"/>
            <c:spPr>
              <a:ln/>
              <a:effectLst/>
            </c:spPr>
          </c:bandFmt>
          <c:bandFmt>
            <c:idx val="1"/>
            <c:spPr>
              <a:ln/>
              <a:effectLst/>
            </c:spPr>
          </c:bandFmt>
          <c:bandFmt>
            <c:idx val="2"/>
            <c:spPr>
              <a:ln/>
              <a:effectLst/>
            </c:spPr>
          </c:bandFmt>
          <c:bandFmt>
            <c:idx val="3"/>
            <c:spPr>
              <a:ln/>
              <a:effectLst/>
            </c:spPr>
          </c:bandFmt>
          <c:bandFmt>
            <c:idx val="4"/>
            <c:spPr>
              <a:ln/>
              <a:effectLst/>
            </c:spPr>
          </c:bandFmt>
          <c:bandFmt>
            <c:idx val="5"/>
            <c:spPr>
              <a:ln/>
              <a:effectLst/>
            </c:spPr>
          </c:bandFmt>
          <c:bandFmt>
            <c:idx val="6"/>
            <c:spPr>
              <a:ln/>
              <a:effectLst/>
            </c:spPr>
          </c:bandFmt>
          <c:bandFmt>
            <c:idx val="7"/>
            <c:spPr>
              <a:ln/>
              <a:effectLst/>
            </c:spPr>
          </c:bandFmt>
          <c:bandFmt>
            <c:idx val="8"/>
            <c:spPr>
              <a:ln/>
              <a:effectLst/>
            </c:spPr>
          </c:bandFmt>
          <c:bandFmt>
            <c:idx val="9"/>
            <c:spPr>
              <a:ln/>
              <a:effectLst/>
            </c:spPr>
          </c:bandFmt>
          <c:bandFmt>
            <c:idx val="10"/>
            <c:spPr>
              <a:ln/>
              <a:effectLst/>
            </c:spPr>
          </c:bandFmt>
          <c:bandFmt>
            <c:idx val="11"/>
            <c:spPr>
              <a:ln/>
              <a:effectLst/>
            </c:spPr>
          </c:bandFmt>
          <c:bandFmt>
            <c:idx val="12"/>
            <c:spPr>
              <a:ln/>
              <a:effectLst/>
            </c:spPr>
          </c:bandFmt>
          <c:bandFmt>
            <c:idx val="13"/>
            <c:spPr>
              <a:ln/>
              <a:effectLst/>
            </c:spPr>
          </c:bandFmt>
          <c:bandFmt>
            <c:idx val="14"/>
            <c:spPr>
              <a:ln/>
              <a:effectLst/>
            </c:spPr>
          </c:bandFmt>
        </c:bandFmts>
        <c:axId val="2017134624"/>
        <c:axId val="2017135104"/>
        <c:axId val="1637814432"/>
      </c:surfaceChart>
      <c:catAx>
        <c:axId val="2017134624"/>
        <c:scaling>
          <c:orientation val="minMax"/>
        </c:scaling>
        <c:delete val="0"/>
        <c:axPos val="b"/>
        <c:numFmt formatCode="0.00" sourceLinked="1"/>
        <c:majorTickMark val="out"/>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7135104"/>
        <c:crosses val="autoZero"/>
        <c:auto val="1"/>
        <c:lblAlgn val="ctr"/>
        <c:lblOffset val="100"/>
        <c:noMultiLvlLbl val="0"/>
      </c:catAx>
      <c:valAx>
        <c:axId val="2017135104"/>
        <c:scaling>
          <c:orientation val="minMax"/>
          <c:max val="0.15000000000000002"/>
          <c:min val="-0.15000000000000002"/>
        </c:scaling>
        <c:delete val="0"/>
        <c:axPos val="l"/>
        <c:majorGridlines>
          <c:spPr>
            <a:ln w="9525" cap="flat" cmpd="sng" algn="ctr">
              <a:solidFill>
                <a:schemeClr val="tx1">
                  <a:lumMod val="15000"/>
                  <a:lumOff val="85000"/>
                </a:schemeClr>
              </a:solidFill>
              <a:prstDash val="solid"/>
              <a:round/>
            </a:ln>
            <a:effectLst/>
          </c:spPr>
        </c:majorGridlines>
        <c:numFmt formatCode="0.000000" sourceLinked="1"/>
        <c:majorTickMark val="none"/>
        <c:minorTickMark val="none"/>
        <c:tickLblPos val="none"/>
        <c:spPr>
          <a:noFill/>
          <a:ln w="6350" cap="flat" cmpd="sng" algn="ctr">
            <a:no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7134624"/>
        <c:crosses val="autoZero"/>
        <c:crossBetween val="midCat"/>
        <c:majorUnit val="5.000000000000001E-2"/>
      </c:valAx>
      <c:serAx>
        <c:axId val="1637814432"/>
        <c:scaling>
          <c:orientation val="minMax"/>
        </c:scaling>
        <c:delete val="0"/>
        <c:axPos val="b"/>
        <c:majorTickMark val="out"/>
        <c:minorTickMark val="none"/>
        <c:tickLblPos val="nextTo"/>
        <c:spPr>
          <a:noFill/>
          <a:ln w="9525" cap="flat" cmpd="sng" algn="ctr">
            <a:solidFill>
              <a:schemeClr val="tx1">
                <a:lumMod val="15000"/>
                <a:lumOff val="85000"/>
              </a:schemeClr>
            </a:solidFill>
            <a:prstDash val="solid"/>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7135104"/>
        <c:crosses val="autoZero"/>
      </c:ser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prstDash val="solid"/>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Starting Bed Mesh</a:t>
            </a:r>
          </a:p>
        </c:rich>
      </c:tx>
      <c:overlay val="0"/>
      <c:spPr>
        <a:noFill/>
        <a:ln>
          <a:noFill/>
        </a:ln>
        <a:effectLst/>
      </c:spPr>
    </c:title>
    <c:autoTitleDeleted val="0"/>
    <c:view3D>
      <c:rotX val="20"/>
      <c:rotY val="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surface3DChart>
        <c:wireframe val="0"/>
        <c:ser>
          <c:idx val="0"/>
          <c:order val="0"/>
          <c:tx>
            <c:strRef>
              <c:f>Final_Mesh_022625!$A$45</c:f>
              <c:strCache>
                <c:ptCount val="1"/>
                <c:pt idx="0">
                  <c:v>12.00</c:v>
                </c:pt>
              </c:strCache>
            </c:strRef>
          </c:tx>
          <c:spPr>
            <a:solidFill>
              <a:schemeClr val="accent1"/>
            </a:solidFill>
            <a:ln/>
            <a:effectLst/>
            <a:sp3d/>
          </c:spPr>
          <c:cat>
            <c:numRef>
              <c:f>Final_Mesh_022625!$B$44:$K$44</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Final_Mesh_022625!$B$45:$K$45</c:f>
              <c:numCache>
                <c:formatCode>0.000000</c:formatCode>
                <c:ptCount val="10"/>
                <c:pt idx="0">
                  <c:v>-3.9167E-2</c:v>
                </c:pt>
                <c:pt idx="1">
                  <c:v>-5.4167E-2</c:v>
                </c:pt>
                <c:pt idx="2">
                  <c:v>-0.111667</c:v>
                </c:pt>
                <c:pt idx="3">
                  <c:v>-0.1</c:v>
                </c:pt>
                <c:pt idx="4">
                  <c:v>-0.129583</c:v>
                </c:pt>
                <c:pt idx="5">
                  <c:v>-0.10875</c:v>
                </c:pt>
                <c:pt idx="6">
                  <c:v>-0.11708300000000001</c:v>
                </c:pt>
                <c:pt idx="7">
                  <c:v>-0.11125</c:v>
                </c:pt>
                <c:pt idx="8">
                  <c:v>-0.104167</c:v>
                </c:pt>
                <c:pt idx="9">
                  <c:v>-9.1666999999999998E-2</c:v>
                </c:pt>
              </c:numCache>
            </c:numRef>
          </c:val>
          <c:extLst>
            <c:ext xmlns:c16="http://schemas.microsoft.com/office/drawing/2014/chart" uri="{C3380CC4-5D6E-409C-BE32-E72D297353CC}">
              <c16:uniqueId val="{00000000-A05E-4AA3-B206-DAD07D73F50C}"/>
            </c:ext>
          </c:extLst>
        </c:ser>
        <c:ser>
          <c:idx val="1"/>
          <c:order val="1"/>
          <c:tx>
            <c:strRef>
              <c:f>Final_Mesh_022625!$A$46</c:f>
              <c:strCache>
                <c:ptCount val="1"/>
                <c:pt idx="0">
                  <c:v>33.44</c:v>
                </c:pt>
              </c:strCache>
            </c:strRef>
          </c:tx>
          <c:spPr>
            <a:solidFill>
              <a:schemeClr val="accent2"/>
            </a:solidFill>
            <a:ln/>
            <a:effectLst/>
            <a:sp3d/>
          </c:spPr>
          <c:cat>
            <c:numRef>
              <c:f>Final_Mesh_022625!$B$44:$K$44</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Final_Mesh_022625!$B$46:$K$46</c:f>
              <c:numCache>
                <c:formatCode>0.000000</c:formatCode>
                <c:ptCount val="10"/>
                <c:pt idx="0">
                  <c:v>-3.9167E-2</c:v>
                </c:pt>
                <c:pt idx="1">
                  <c:v>-4.2083000000000002E-2</c:v>
                </c:pt>
                <c:pt idx="2">
                  <c:v>-0.1</c:v>
                </c:pt>
                <c:pt idx="3">
                  <c:v>-8.6249999999999993E-2</c:v>
                </c:pt>
                <c:pt idx="4">
                  <c:v>-0.104167</c:v>
                </c:pt>
                <c:pt idx="5">
                  <c:v>-9.375E-2</c:v>
                </c:pt>
                <c:pt idx="6">
                  <c:v>-0.104167</c:v>
                </c:pt>
                <c:pt idx="7">
                  <c:v>-9.0832999999999997E-2</c:v>
                </c:pt>
                <c:pt idx="8">
                  <c:v>-8.0833000000000002E-2</c:v>
                </c:pt>
                <c:pt idx="9">
                  <c:v>-9.0832999999999997E-2</c:v>
                </c:pt>
              </c:numCache>
            </c:numRef>
          </c:val>
          <c:extLst>
            <c:ext xmlns:c16="http://schemas.microsoft.com/office/drawing/2014/chart" uri="{C3380CC4-5D6E-409C-BE32-E72D297353CC}">
              <c16:uniqueId val="{00000001-A05E-4AA3-B206-DAD07D73F50C}"/>
            </c:ext>
          </c:extLst>
        </c:ser>
        <c:ser>
          <c:idx val="2"/>
          <c:order val="2"/>
          <c:tx>
            <c:strRef>
              <c:f>Final_Mesh_022625!$A$47</c:f>
              <c:strCache>
                <c:ptCount val="1"/>
                <c:pt idx="0">
                  <c:v>54.89</c:v>
                </c:pt>
              </c:strCache>
            </c:strRef>
          </c:tx>
          <c:spPr>
            <a:solidFill>
              <a:schemeClr val="accent3"/>
            </a:solidFill>
            <a:ln/>
            <a:effectLst/>
            <a:sp3d/>
          </c:spPr>
          <c:cat>
            <c:numRef>
              <c:f>Final_Mesh_022625!$B$44:$K$44</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Final_Mesh_022625!$B$47:$K$47</c:f>
              <c:numCache>
                <c:formatCode>0.000000</c:formatCode>
                <c:ptCount val="10"/>
                <c:pt idx="0">
                  <c:v>1.0833000000000001E-2</c:v>
                </c:pt>
                <c:pt idx="1">
                  <c:v>1.2500000000000001E-2</c:v>
                </c:pt>
                <c:pt idx="2">
                  <c:v>-4.5832999999999999E-2</c:v>
                </c:pt>
                <c:pt idx="3">
                  <c:v>-4.4166999999999998E-2</c:v>
                </c:pt>
                <c:pt idx="4">
                  <c:v>-7.6249999999999998E-2</c:v>
                </c:pt>
                <c:pt idx="5">
                  <c:v>-6.3333E-2</c:v>
                </c:pt>
                <c:pt idx="6">
                  <c:v>-8.5417000000000007E-2</c:v>
                </c:pt>
                <c:pt idx="7">
                  <c:v>-7.2916999999999996E-2</c:v>
                </c:pt>
                <c:pt idx="8">
                  <c:v>-7.4582999999999997E-2</c:v>
                </c:pt>
                <c:pt idx="9">
                  <c:v>-4.0417000000000002E-2</c:v>
                </c:pt>
              </c:numCache>
            </c:numRef>
          </c:val>
          <c:extLst>
            <c:ext xmlns:c16="http://schemas.microsoft.com/office/drawing/2014/chart" uri="{C3380CC4-5D6E-409C-BE32-E72D297353CC}">
              <c16:uniqueId val="{00000002-A05E-4AA3-B206-DAD07D73F50C}"/>
            </c:ext>
          </c:extLst>
        </c:ser>
        <c:ser>
          <c:idx val="3"/>
          <c:order val="3"/>
          <c:tx>
            <c:strRef>
              <c:f>Final_Mesh_022625!$A$48</c:f>
              <c:strCache>
                <c:ptCount val="1"/>
                <c:pt idx="0">
                  <c:v>76.33</c:v>
                </c:pt>
              </c:strCache>
            </c:strRef>
          </c:tx>
          <c:spPr>
            <a:solidFill>
              <a:schemeClr val="accent4"/>
            </a:solidFill>
            <a:ln/>
            <a:effectLst/>
            <a:sp3d/>
          </c:spPr>
          <c:cat>
            <c:numRef>
              <c:f>Final_Mesh_022625!$B$44:$K$44</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Final_Mesh_022625!$B$48:$K$48</c:f>
              <c:numCache>
                <c:formatCode>0.000000</c:formatCode>
                <c:ptCount val="10"/>
                <c:pt idx="0">
                  <c:v>1.9583E-2</c:v>
                </c:pt>
                <c:pt idx="1">
                  <c:v>9.5829999999999995E-3</c:v>
                </c:pt>
                <c:pt idx="2">
                  <c:v>-2.7917000000000001E-2</c:v>
                </c:pt>
                <c:pt idx="3">
                  <c:v>-1.7916999999999999E-2</c:v>
                </c:pt>
                <c:pt idx="4">
                  <c:v>-5.5417000000000001E-2</c:v>
                </c:pt>
                <c:pt idx="5">
                  <c:v>-4.5416999999999999E-2</c:v>
                </c:pt>
                <c:pt idx="6">
                  <c:v>-7.0000000000000007E-2</c:v>
                </c:pt>
                <c:pt idx="7">
                  <c:v>-5.9582999999999997E-2</c:v>
                </c:pt>
                <c:pt idx="8">
                  <c:v>-6.8333000000000005E-2</c:v>
                </c:pt>
                <c:pt idx="9">
                  <c:v>-1.7916999999999999E-2</c:v>
                </c:pt>
              </c:numCache>
            </c:numRef>
          </c:val>
          <c:extLst>
            <c:ext xmlns:c16="http://schemas.microsoft.com/office/drawing/2014/chart" uri="{C3380CC4-5D6E-409C-BE32-E72D297353CC}">
              <c16:uniqueId val="{00000003-A05E-4AA3-B206-DAD07D73F50C}"/>
            </c:ext>
          </c:extLst>
        </c:ser>
        <c:ser>
          <c:idx val="4"/>
          <c:order val="4"/>
          <c:tx>
            <c:strRef>
              <c:f>Final_Mesh_022625!$A$49</c:f>
              <c:strCache>
                <c:ptCount val="1"/>
                <c:pt idx="0">
                  <c:v>97.78</c:v>
                </c:pt>
              </c:strCache>
            </c:strRef>
          </c:tx>
          <c:spPr>
            <a:solidFill>
              <a:schemeClr val="accent5"/>
            </a:solidFill>
            <a:ln/>
            <a:effectLst/>
            <a:sp3d/>
          </c:spPr>
          <c:cat>
            <c:numRef>
              <c:f>Final_Mesh_022625!$B$44:$K$44</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Final_Mesh_022625!$B$49:$K$49</c:f>
              <c:numCache>
                <c:formatCode>0.000000</c:formatCode>
                <c:ptCount val="10"/>
                <c:pt idx="0">
                  <c:v>3.5832999999999997E-2</c:v>
                </c:pt>
                <c:pt idx="1">
                  <c:v>3.0832999999999999E-2</c:v>
                </c:pt>
                <c:pt idx="2">
                  <c:v>-5.0000000000000001E-3</c:v>
                </c:pt>
                <c:pt idx="3">
                  <c:v>-8.3299999999999997E-4</c:v>
                </c:pt>
                <c:pt idx="4">
                  <c:v>-4.6667E-2</c:v>
                </c:pt>
                <c:pt idx="5">
                  <c:v>-4.1250000000000002E-2</c:v>
                </c:pt>
                <c:pt idx="6">
                  <c:v>-7.1666999999999995E-2</c:v>
                </c:pt>
                <c:pt idx="7">
                  <c:v>-6.2082999999999999E-2</c:v>
                </c:pt>
                <c:pt idx="8">
                  <c:v>-6.7083000000000004E-2</c:v>
                </c:pt>
                <c:pt idx="9">
                  <c:v>-1.7916999999999999E-2</c:v>
                </c:pt>
              </c:numCache>
            </c:numRef>
          </c:val>
          <c:extLst>
            <c:ext xmlns:c16="http://schemas.microsoft.com/office/drawing/2014/chart" uri="{C3380CC4-5D6E-409C-BE32-E72D297353CC}">
              <c16:uniqueId val="{00000004-A05E-4AA3-B206-DAD07D73F50C}"/>
            </c:ext>
          </c:extLst>
        </c:ser>
        <c:ser>
          <c:idx val="5"/>
          <c:order val="5"/>
          <c:tx>
            <c:strRef>
              <c:f>Final_Mesh_022625!$A$50</c:f>
              <c:strCache>
                <c:ptCount val="1"/>
                <c:pt idx="0">
                  <c:v>119.22</c:v>
                </c:pt>
              </c:strCache>
            </c:strRef>
          </c:tx>
          <c:spPr>
            <a:solidFill>
              <a:schemeClr val="accent6"/>
            </a:solidFill>
            <a:ln/>
            <a:effectLst/>
            <a:sp3d/>
          </c:spPr>
          <c:cat>
            <c:numRef>
              <c:f>Final_Mesh_022625!$B$44:$K$44</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Final_Mesh_022625!$B$50:$K$50</c:f>
              <c:numCache>
                <c:formatCode>0.000000</c:formatCode>
                <c:ptCount val="10"/>
                <c:pt idx="0">
                  <c:v>4.4582999999999998E-2</c:v>
                </c:pt>
                <c:pt idx="1">
                  <c:v>3.0417E-2</c:v>
                </c:pt>
                <c:pt idx="2">
                  <c:v>-7.4999999999999997E-3</c:v>
                </c:pt>
                <c:pt idx="3">
                  <c:v>-6.6670000000000002E-3</c:v>
                </c:pt>
                <c:pt idx="4">
                  <c:v>-6.0832999999999998E-2</c:v>
                </c:pt>
                <c:pt idx="5">
                  <c:v>-5.3332999999999998E-2</c:v>
                </c:pt>
                <c:pt idx="6">
                  <c:v>-7.2499999999999995E-2</c:v>
                </c:pt>
                <c:pt idx="7">
                  <c:v>-6.6667000000000004E-2</c:v>
                </c:pt>
                <c:pt idx="8">
                  <c:v>-5.8749999999999997E-2</c:v>
                </c:pt>
                <c:pt idx="9">
                  <c:v>-1.4583E-2</c:v>
                </c:pt>
              </c:numCache>
            </c:numRef>
          </c:val>
          <c:extLst>
            <c:ext xmlns:c16="http://schemas.microsoft.com/office/drawing/2014/chart" uri="{C3380CC4-5D6E-409C-BE32-E72D297353CC}">
              <c16:uniqueId val="{00000005-A05E-4AA3-B206-DAD07D73F50C}"/>
            </c:ext>
          </c:extLst>
        </c:ser>
        <c:ser>
          <c:idx val="6"/>
          <c:order val="6"/>
          <c:tx>
            <c:strRef>
              <c:f>Final_Mesh_022625!$A$51</c:f>
              <c:strCache>
                <c:ptCount val="1"/>
                <c:pt idx="0">
                  <c:v>140.67</c:v>
                </c:pt>
              </c:strCache>
            </c:strRef>
          </c:tx>
          <c:spPr>
            <a:solidFill>
              <a:schemeClr val="accent1">
                <a:lumMod val="60000"/>
              </a:schemeClr>
            </a:solidFill>
            <a:ln/>
            <a:effectLst/>
            <a:sp3d/>
          </c:spPr>
          <c:cat>
            <c:numRef>
              <c:f>Final_Mesh_022625!$B$44:$K$44</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Final_Mesh_022625!$B$51:$K$51</c:f>
              <c:numCache>
                <c:formatCode>0.000000</c:formatCode>
                <c:ptCount val="10"/>
                <c:pt idx="0">
                  <c:v>3.875E-2</c:v>
                </c:pt>
                <c:pt idx="1">
                  <c:v>3.1667000000000001E-2</c:v>
                </c:pt>
                <c:pt idx="2">
                  <c:v>-6.6670000000000002E-3</c:v>
                </c:pt>
                <c:pt idx="3">
                  <c:v>-1.6670000000000001E-3</c:v>
                </c:pt>
                <c:pt idx="4">
                  <c:v>-4.2500000000000003E-2</c:v>
                </c:pt>
                <c:pt idx="5">
                  <c:v>-4.1250000000000002E-2</c:v>
                </c:pt>
                <c:pt idx="6">
                  <c:v>-6.7917000000000005E-2</c:v>
                </c:pt>
                <c:pt idx="7">
                  <c:v>-6.9167000000000006E-2</c:v>
                </c:pt>
                <c:pt idx="8">
                  <c:v>-6.6667000000000004E-2</c:v>
                </c:pt>
                <c:pt idx="9">
                  <c:v>-2.5000000000000001E-2</c:v>
                </c:pt>
              </c:numCache>
            </c:numRef>
          </c:val>
          <c:extLst>
            <c:ext xmlns:c16="http://schemas.microsoft.com/office/drawing/2014/chart" uri="{C3380CC4-5D6E-409C-BE32-E72D297353CC}">
              <c16:uniqueId val="{00000006-A05E-4AA3-B206-DAD07D73F50C}"/>
            </c:ext>
          </c:extLst>
        </c:ser>
        <c:ser>
          <c:idx val="7"/>
          <c:order val="7"/>
          <c:tx>
            <c:strRef>
              <c:f>Final_Mesh_022625!$A$52</c:f>
              <c:strCache>
                <c:ptCount val="1"/>
                <c:pt idx="0">
                  <c:v>162.11</c:v>
                </c:pt>
              </c:strCache>
            </c:strRef>
          </c:tx>
          <c:spPr>
            <a:solidFill>
              <a:schemeClr val="accent2">
                <a:lumMod val="60000"/>
              </a:schemeClr>
            </a:solidFill>
            <a:ln/>
            <a:effectLst/>
            <a:sp3d/>
          </c:spPr>
          <c:cat>
            <c:numRef>
              <c:f>Final_Mesh_022625!$B$44:$K$44</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Final_Mesh_022625!$B$52:$K$52</c:f>
              <c:numCache>
                <c:formatCode>0.000000</c:formatCode>
                <c:ptCount val="10"/>
                <c:pt idx="0">
                  <c:v>3.3750000000000002E-2</c:v>
                </c:pt>
                <c:pt idx="1">
                  <c:v>1.7500000000000002E-2</c:v>
                </c:pt>
                <c:pt idx="2">
                  <c:v>-2.2499999999999999E-2</c:v>
                </c:pt>
                <c:pt idx="3">
                  <c:v>-5.4169999999999999E-3</c:v>
                </c:pt>
                <c:pt idx="4">
                  <c:v>-4.2083000000000002E-2</c:v>
                </c:pt>
                <c:pt idx="5">
                  <c:v>-4.2500000000000003E-2</c:v>
                </c:pt>
                <c:pt idx="6">
                  <c:v>-7.6249999999999998E-2</c:v>
                </c:pt>
                <c:pt idx="7">
                  <c:v>-7.5832999999999998E-2</c:v>
                </c:pt>
                <c:pt idx="8">
                  <c:v>-6.8333000000000005E-2</c:v>
                </c:pt>
                <c:pt idx="9">
                  <c:v>-3.0417E-2</c:v>
                </c:pt>
              </c:numCache>
            </c:numRef>
          </c:val>
          <c:extLst>
            <c:ext xmlns:c16="http://schemas.microsoft.com/office/drawing/2014/chart" uri="{C3380CC4-5D6E-409C-BE32-E72D297353CC}">
              <c16:uniqueId val="{00000007-A05E-4AA3-B206-DAD07D73F50C}"/>
            </c:ext>
          </c:extLst>
        </c:ser>
        <c:ser>
          <c:idx val="8"/>
          <c:order val="8"/>
          <c:tx>
            <c:strRef>
              <c:f>Final_Mesh_022625!$A$53</c:f>
              <c:strCache>
                <c:ptCount val="1"/>
                <c:pt idx="0">
                  <c:v>183.56</c:v>
                </c:pt>
              </c:strCache>
            </c:strRef>
          </c:tx>
          <c:spPr>
            <a:solidFill>
              <a:schemeClr val="accent3">
                <a:lumMod val="60000"/>
              </a:schemeClr>
            </a:solidFill>
            <a:ln/>
            <a:effectLst/>
            <a:sp3d/>
          </c:spPr>
          <c:cat>
            <c:numRef>
              <c:f>Final_Mesh_022625!$B$44:$K$44</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Final_Mesh_022625!$B$53:$K$53</c:f>
              <c:numCache>
                <c:formatCode>0.000000</c:formatCode>
                <c:ptCount val="10"/>
                <c:pt idx="0">
                  <c:v>8.3299999999999997E-4</c:v>
                </c:pt>
                <c:pt idx="1">
                  <c:v>-7.4999999999999997E-3</c:v>
                </c:pt>
                <c:pt idx="2">
                  <c:v>-3.875E-2</c:v>
                </c:pt>
                <c:pt idx="3">
                  <c:v>-2.0417000000000001E-2</c:v>
                </c:pt>
                <c:pt idx="4">
                  <c:v>-4.7500000000000001E-2</c:v>
                </c:pt>
                <c:pt idx="5">
                  <c:v>-4.7083E-2</c:v>
                </c:pt>
                <c:pt idx="6">
                  <c:v>-7.3332999999999995E-2</c:v>
                </c:pt>
                <c:pt idx="7">
                  <c:v>-7.8750000000000001E-2</c:v>
                </c:pt>
                <c:pt idx="8">
                  <c:v>-8.6249999999999993E-2</c:v>
                </c:pt>
                <c:pt idx="9">
                  <c:v>-3.5832999999999997E-2</c:v>
                </c:pt>
              </c:numCache>
            </c:numRef>
          </c:val>
          <c:extLst>
            <c:ext xmlns:c16="http://schemas.microsoft.com/office/drawing/2014/chart" uri="{C3380CC4-5D6E-409C-BE32-E72D297353CC}">
              <c16:uniqueId val="{00000008-A05E-4AA3-B206-DAD07D73F50C}"/>
            </c:ext>
          </c:extLst>
        </c:ser>
        <c:ser>
          <c:idx val="9"/>
          <c:order val="9"/>
          <c:tx>
            <c:strRef>
              <c:f>Final_Mesh_022625!$A$54</c:f>
              <c:strCache>
                <c:ptCount val="1"/>
                <c:pt idx="0">
                  <c:v>205.00</c:v>
                </c:pt>
              </c:strCache>
            </c:strRef>
          </c:tx>
          <c:spPr>
            <a:solidFill>
              <a:schemeClr val="accent4">
                <a:lumMod val="60000"/>
              </a:schemeClr>
            </a:solidFill>
            <a:ln/>
            <a:effectLst/>
            <a:sp3d/>
          </c:spPr>
          <c:cat>
            <c:numRef>
              <c:f>Final_Mesh_022625!$B$44:$K$44</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Final_Mesh_022625!$B$54:$K$54</c:f>
              <c:numCache>
                <c:formatCode>0.000000</c:formatCode>
                <c:ptCount val="10"/>
                <c:pt idx="0">
                  <c:v>1.5833E-2</c:v>
                </c:pt>
                <c:pt idx="1">
                  <c:v>9.5829999999999995E-3</c:v>
                </c:pt>
                <c:pt idx="2">
                  <c:v>-0.01</c:v>
                </c:pt>
                <c:pt idx="3">
                  <c:v>1.2500000000000001E-2</c:v>
                </c:pt>
                <c:pt idx="4">
                  <c:v>-3.7082999999999998E-2</c:v>
                </c:pt>
                <c:pt idx="5">
                  <c:v>-0.04</c:v>
                </c:pt>
                <c:pt idx="6">
                  <c:v>-6.5000000000000002E-2</c:v>
                </c:pt>
                <c:pt idx="7">
                  <c:v>-7.7499999999999999E-2</c:v>
                </c:pt>
                <c:pt idx="8">
                  <c:v>-8.4167000000000006E-2</c:v>
                </c:pt>
                <c:pt idx="9">
                  <c:v>-2.6667E-2</c:v>
                </c:pt>
              </c:numCache>
            </c:numRef>
          </c:val>
          <c:extLst>
            <c:ext xmlns:c16="http://schemas.microsoft.com/office/drawing/2014/chart" uri="{C3380CC4-5D6E-409C-BE32-E72D297353CC}">
              <c16:uniqueId val="{00000009-A05E-4AA3-B206-DAD07D73F50C}"/>
            </c:ext>
          </c:extLst>
        </c:ser>
        <c:bandFmts>
          <c:bandFmt>
            <c:idx val="0"/>
            <c:spPr>
              <a:solidFill>
                <a:schemeClr val="accent1"/>
              </a:solidFill>
              <a:ln/>
              <a:effectLst/>
              <a:sp3d/>
            </c:spPr>
          </c:bandFmt>
          <c:bandFmt>
            <c:idx val="1"/>
            <c:spPr>
              <a:solidFill>
                <a:schemeClr val="accent2"/>
              </a:solidFill>
              <a:ln/>
              <a:effectLst/>
              <a:sp3d/>
            </c:spPr>
          </c:bandFmt>
          <c:bandFmt>
            <c:idx val="2"/>
            <c:spPr>
              <a:solidFill>
                <a:schemeClr val="accent3"/>
              </a:solidFill>
              <a:ln/>
              <a:effectLst/>
              <a:sp3d/>
            </c:spPr>
          </c:bandFmt>
          <c:bandFmt>
            <c:idx val="3"/>
            <c:spPr>
              <a:solidFill>
                <a:schemeClr val="accent4"/>
              </a:solidFill>
              <a:ln/>
              <a:effectLst/>
              <a:sp3d/>
            </c:spPr>
          </c:bandFmt>
          <c:bandFmt>
            <c:idx val="4"/>
            <c:spPr>
              <a:solidFill>
                <a:schemeClr val="accent5"/>
              </a:solidFill>
              <a:ln/>
              <a:effectLst/>
              <a:sp3d/>
            </c:spPr>
          </c:bandFmt>
          <c:bandFmt>
            <c:idx val="5"/>
            <c:spPr>
              <a:solidFill>
                <a:schemeClr val="accent6"/>
              </a:solidFill>
              <a:ln/>
              <a:effectLst/>
              <a:sp3d/>
            </c:spPr>
          </c:bandFmt>
          <c:bandFmt>
            <c:idx val="6"/>
            <c:spPr>
              <a:solidFill>
                <a:schemeClr val="accent1">
                  <a:lumMod val="60000"/>
                </a:schemeClr>
              </a:solidFill>
              <a:ln/>
              <a:effectLst/>
              <a:sp3d/>
            </c:spPr>
          </c:bandFmt>
          <c:bandFmt>
            <c:idx val="7"/>
            <c:spPr>
              <a:solidFill>
                <a:schemeClr val="accent2">
                  <a:lumMod val="60000"/>
                </a:schemeClr>
              </a:solidFill>
              <a:ln/>
              <a:effectLst/>
              <a:sp3d/>
            </c:spPr>
          </c:bandFmt>
          <c:bandFmt>
            <c:idx val="8"/>
            <c:spPr>
              <a:solidFill>
                <a:schemeClr val="accent3">
                  <a:lumMod val="60000"/>
                </a:schemeClr>
              </a:solidFill>
              <a:ln/>
              <a:effectLst/>
              <a:sp3d/>
            </c:spPr>
          </c:bandFmt>
          <c:bandFmt>
            <c:idx val="9"/>
            <c:spPr>
              <a:solidFill>
                <a:schemeClr val="accent4">
                  <a:lumMod val="60000"/>
                </a:schemeClr>
              </a:solidFill>
              <a:ln/>
              <a:effectLst/>
              <a:sp3d/>
            </c:spPr>
          </c:bandFmt>
          <c:bandFmt>
            <c:idx val="10"/>
            <c:spPr>
              <a:solidFill>
                <a:schemeClr val="accent5">
                  <a:lumMod val="60000"/>
                </a:schemeClr>
              </a:solidFill>
              <a:ln/>
              <a:effectLst/>
              <a:sp3d/>
            </c:spPr>
          </c:bandFmt>
          <c:bandFmt>
            <c:idx val="11"/>
            <c:spPr>
              <a:solidFill>
                <a:schemeClr val="accent6">
                  <a:lumMod val="60000"/>
                </a:schemeClr>
              </a:solidFill>
              <a:ln/>
              <a:effectLst/>
              <a:sp3d/>
            </c:spPr>
          </c:bandFmt>
          <c:bandFmt>
            <c:idx val="12"/>
            <c:spPr>
              <a:solidFill>
                <a:schemeClr val="accent1">
                  <a:lumMod val="80000"/>
                  <a:lumOff val="20000"/>
                </a:schemeClr>
              </a:solidFill>
              <a:ln/>
              <a:effectLst/>
              <a:sp3d/>
            </c:spPr>
          </c:bandFmt>
          <c:bandFmt>
            <c:idx val="13"/>
            <c:spPr>
              <a:solidFill>
                <a:schemeClr val="accent2">
                  <a:lumMod val="80000"/>
                  <a:lumOff val="20000"/>
                </a:schemeClr>
              </a:solidFill>
              <a:ln/>
              <a:effectLst/>
              <a:sp3d/>
            </c:spPr>
          </c:bandFmt>
          <c:bandFmt>
            <c:idx val="14"/>
            <c:spPr>
              <a:solidFill>
                <a:schemeClr val="accent3">
                  <a:lumMod val="80000"/>
                  <a:lumOff val="20000"/>
                </a:schemeClr>
              </a:solidFill>
              <a:ln/>
              <a:effectLst/>
              <a:sp3d/>
            </c:spPr>
          </c:bandFmt>
        </c:bandFmts>
        <c:axId val="981714911"/>
        <c:axId val="981699551"/>
        <c:axId val="1012021439"/>
      </c:surface3DChart>
      <c:catAx>
        <c:axId val="981714911"/>
        <c:scaling>
          <c:orientation val="minMax"/>
        </c:scaling>
        <c:delete val="0"/>
        <c:axPos val="b"/>
        <c:numFmt formatCode="0.00"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1699551"/>
        <c:crosses val="autoZero"/>
        <c:auto val="1"/>
        <c:lblAlgn val="ctr"/>
        <c:lblOffset val="100"/>
        <c:noMultiLvlLbl val="0"/>
      </c:catAx>
      <c:valAx>
        <c:axId val="981699551"/>
        <c:scaling>
          <c:orientation val="minMax"/>
          <c:max val="0.2"/>
        </c:scaling>
        <c:delete val="0"/>
        <c:axPos val="l"/>
        <c:majorGridlines>
          <c:spPr>
            <a:ln w="9525" cap="flat" cmpd="sng" algn="ctr">
              <a:solidFill>
                <a:schemeClr val="tx1">
                  <a:lumMod val="15000"/>
                  <a:lumOff val="85000"/>
                </a:schemeClr>
              </a:solidFill>
              <a:round/>
            </a:ln>
            <a:effectLst/>
          </c:spPr>
        </c:majorGridlines>
        <c:numFmt formatCode="0.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1714911"/>
        <c:crosses val="autoZero"/>
        <c:crossBetween val="midCat"/>
        <c:majorUnit val="5.000000000000001E-2"/>
      </c:valAx>
      <c:serAx>
        <c:axId val="1012021439"/>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1699551"/>
        <c:crosses val="autoZero"/>
      </c:ser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Final Manually</a:t>
            </a:r>
            <a:r>
              <a:rPr lang="en-US" baseline="0"/>
              <a:t> Altered Mesh</a:t>
            </a:r>
            <a:endParaRPr lang="en-US"/>
          </a:p>
        </c:rich>
      </c:tx>
      <c:overlay val="0"/>
      <c:spPr>
        <a:noFill/>
        <a:ln>
          <a:noFill/>
        </a:ln>
        <a:effectLst/>
      </c:spPr>
    </c:title>
    <c:autoTitleDeleted val="0"/>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surface3DChart>
        <c:wireframe val="0"/>
        <c:ser>
          <c:idx val="0"/>
          <c:order val="0"/>
          <c:tx>
            <c:strRef>
              <c:f>Final_Mesh_022625!$A$122</c:f>
              <c:strCache>
                <c:ptCount val="1"/>
                <c:pt idx="0">
                  <c:v>12.00</c:v>
                </c:pt>
              </c:strCache>
            </c:strRef>
          </c:tx>
          <c:spPr>
            <a:solidFill>
              <a:schemeClr val="accent1"/>
            </a:solidFill>
            <a:ln/>
            <a:effectLst/>
            <a:sp3d/>
          </c:spPr>
          <c:cat>
            <c:numRef>
              <c:f>Final_Mesh_022625!$B$121:$K$121</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Final_Mesh_022625!$B$122:$K$122</c:f>
              <c:numCache>
                <c:formatCode>0.000000</c:formatCode>
                <c:ptCount val="10"/>
                <c:pt idx="0">
                  <c:v>2.5725999999999992E-2</c:v>
                </c:pt>
                <c:pt idx="1">
                  <c:v>-7.4166999999999997E-2</c:v>
                </c:pt>
                <c:pt idx="2">
                  <c:v>-0.126667</c:v>
                </c:pt>
                <c:pt idx="3">
                  <c:v>-0.11</c:v>
                </c:pt>
                <c:pt idx="4">
                  <c:v>-0.129583</c:v>
                </c:pt>
                <c:pt idx="5">
                  <c:v>-0.10875</c:v>
                </c:pt>
                <c:pt idx="6">
                  <c:v>-0.127083</c:v>
                </c:pt>
                <c:pt idx="7">
                  <c:v>-0.12125</c:v>
                </c:pt>
                <c:pt idx="8">
                  <c:v>-0.10276300000000001</c:v>
                </c:pt>
                <c:pt idx="9">
                  <c:v>-0.13081100000000001</c:v>
                </c:pt>
              </c:numCache>
            </c:numRef>
          </c:val>
          <c:extLst>
            <c:ext xmlns:c16="http://schemas.microsoft.com/office/drawing/2014/chart" uri="{C3380CC4-5D6E-409C-BE32-E72D297353CC}">
              <c16:uniqueId val="{00000000-0D15-4DAB-863E-F8A485CDA641}"/>
            </c:ext>
          </c:extLst>
        </c:ser>
        <c:ser>
          <c:idx val="1"/>
          <c:order val="1"/>
          <c:tx>
            <c:strRef>
              <c:f>Final_Mesh_022625!$A$123</c:f>
              <c:strCache>
                <c:ptCount val="1"/>
                <c:pt idx="0">
                  <c:v>33.44</c:v>
                </c:pt>
              </c:strCache>
            </c:strRef>
          </c:tx>
          <c:spPr>
            <a:solidFill>
              <a:schemeClr val="accent2"/>
            </a:solidFill>
            <a:ln/>
            <a:effectLst/>
            <a:sp3d/>
          </c:spPr>
          <c:cat>
            <c:numRef>
              <c:f>Final_Mesh_022625!$B$121:$K$121</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Final_Mesh_022625!$B$123:$K$123</c:f>
              <c:numCache>
                <c:formatCode>0.000000</c:formatCode>
                <c:ptCount val="10"/>
                <c:pt idx="0">
                  <c:v>-3.5409999999999955E-3</c:v>
                </c:pt>
                <c:pt idx="1">
                  <c:v>-6.2082999999999999E-2</c:v>
                </c:pt>
                <c:pt idx="2">
                  <c:v>-0.1</c:v>
                </c:pt>
                <c:pt idx="3">
                  <c:v>-8.6249999999999993E-2</c:v>
                </c:pt>
                <c:pt idx="4">
                  <c:v>-0.104167</c:v>
                </c:pt>
                <c:pt idx="5">
                  <c:v>-9.375E-2</c:v>
                </c:pt>
                <c:pt idx="6">
                  <c:v>-0.104167</c:v>
                </c:pt>
                <c:pt idx="7">
                  <c:v>-9.0832999999999997E-2</c:v>
                </c:pt>
                <c:pt idx="8">
                  <c:v>-9.1197E-2</c:v>
                </c:pt>
                <c:pt idx="9">
                  <c:v>-0.12132800000000001</c:v>
                </c:pt>
              </c:numCache>
            </c:numRef>
          </c:val>
          <c:extLst>
            <c:ext xmlns:c16="http://schemas.microsoft.com/office/drawing/2014/chart" uri="{C3380CC4-5D6E-409C-BE32-E72D297353CC}">
              <c16:uniqueId val="{00000001-0D15-4DAB-863E-F8A485CDA641}"/>
            </c:ext>
          </c:extLst>
        </c:ser>
        <c:ser>
          <c:idx val="2"/>
          <c:order val="2"/>
          <c:tx>
            <c:strRef>
              <c:f>Final_Mesh_022625!$A$124</c:f>
              <c:strCache>
                <c:ptCount val="1"/>
                <c:pt idx="0">
                  <c:v>54.89</c:v>
                </c:pt>
              </c:strCache>
            </c:strRef>
          </c:tx>
          <c:spPr>
            <a:solidFill>
              <a:schemeClr val="accent3"/>
            </a:solidFill>
            <a:ln/>
            <a:effectLst/>
            <a:sp3d/>
          </c:spPr>
          <c:cat>
            <c:numRef>
              <c:f>Final_Mesh_022625!$B$121:$K$121</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Final_Mesh_022625!$B$124:$K$124</c:f>
              <c:numCache>
                <c:formatCode>0.000000</c:formatCode>
                <c:ptCount val="10"/>
                <c:pt idx="0">
                  <c:v>8.3300000000000041E-4</c:v>
                </c:pt>
                <c:pt idx="1">
                  <c:v>2.5000000000000005E-3</c:v>
                </c:pt>
                <c:pt idx="2">
                  <c:v>-4.5832999999999999E-2</c:v>
                </c:pt>
                <c:pt idx="3">
                  <c:v>-4.4166999999999998E-2</c:v>
                </c:pt>
                <c:pt idx="4">
                  <c:v>-7.6249999999999998E-2</c:v>
                </c:pt>
                <c:pt idx="5">
                  <c:v>-6.3333E-2</c:v>
                </c:pt>
                <c:pt idx="6">
                  <c:v>-8.5417000000000007E-2</c:v>
                </c:pt>
                <c:pt idx="7">
                  <c:v>-7.2916999999999996E-2</c:v>
                </c:pt>
                <c:pt idx="8">
                  <c:v>-8.2964999999999997E-2</c:v>
                </c:pt>
                <c:pt idx="9">
                  <c:v>-0.106429</c:v>
                </c:pt>
              </c:numCache>
            </c:numRef>
          </c:val>
          <c:extLst>
            <c:ext xmlns:c16="http://schemas.microsoft.com/office/drawing/2014/chart" uri="{C3380CC4-5D6E-409C-BE32-E72D297353CC}">
              <c16:uniqueId val="{00000002-0D15-4DAB-863E-F8A485CDA641}"/>
            </c:ext>
          </c:extLst>
        </c:ser>
        <c:ser>
          <c:idx val="3"/>
          <c:order val="3"/>
          <c:tx>
            <c:strRef>
              <c:f>Final_Mesh_022625!$A$125</c:f>
              <c:strCache>
                <c:ptCount val="1"/>
                <c:pt idx="0">
                  <c:v>76.33</c:v>
                </c:pt>
              </c:strCache>
            </c:strRef>
          </c:tx>
          <c:spPr>
            <a:solidFill>
              <a:schemeClr val="accent4"/>
            </a:solidFill>
            <a:ln/>
            <a:effectLst/>
            <a:sp3d/>
          </c:spPr>
          <c:cat>
            <c:numRef>
              <c:f>Final_Mesh_022625!$B$121:$K$121</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Final_Mesh_022625!$B$125:$K$125</c:f>
              <c:numCache>
                <c:formatCode>0.000000</c:formatCode>
                <c:ptCount val="10"/>
                <c:pt idx="0">
                  <c:v>9.5829999999999995E-3</c:v>
                </c:pt>
                <c:pt idx="1">
                  <c:v>-4.170000000000007E-4</c:v>
                </c:pt>
                <c:pt idx="2">
                  <c:v>-2.7917000000000001E-2</c:v>
                </c:pt>
                <c:pt idx="3">
                  <c:v>-1.7916999999999999E-2</c:v>
                </c:pt>
                <c:pt idx="4">
                  <c:v>-5.5417000000000001E-2</c:v>
                </c:pt>
                <c:pt idx="5">
                  <c:v>-4.5416999999999999E-2</c:v>
                </c:pt>
                <c:pt idx="6">
                  <c:v>-7.0000000000000007E-2</c:v>
                </c:pt>
                <c:pt idx="7">
                  <c:v>-5.9582999999999997E-2</c:v>
                </c:pt>
                <c:pt idx="8">
                  <c:v>-5.8068999999999996E-2</c:v>
                </c:pt>
                <c:pt idx="9">
                  <c:v>-0.114033</c:v>
                </c:pt>
              </c:numCache>
            </c:numRef>
          </c:val>
          <c:extLst>
            <c:ext xmlns:c16="http://schemas.microsoft.com/office/drawing/2014/chart" uri="{C3380CC4-5D6E-409C-BE32-E72D297353CC}">
              <c16:uniqueId val="{00000003-0D15-4DAB-863E-F8A485CDA641}"/>
            </c:ext>
          </c:extLst>
        </c:ser>
        <c:ser>
          <c:idx val="4"/>
          <c:order val="4"/>
          <c:tx>
            <c:strRef>
              <c:f>Final_Mesh_022625!$A$126</c:f>
              <c:strCache>
                <c:ptCount val="1"/>
                <c:pt idx="0">
                  <c:v>97.78</c:v>
                </c:pt>
              </c:strCache>
            </c:strRef>
          </c:tx>
          <c:spPr>
            <a:solidFill>
              <a:schemeClr val="accent5"/>
            </a:solidFill>
            <a:ln/>
            <a:effectLst/>
            <a:sp3d/>
          </c:spPr>
          <c:cat>
            <c:numRef>
              <c:f>Final_Mesh_022625!$B$121:$K$121</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Final_Mesh_022625!$B$126:$K$126</c:f>
              <c:numCache>
                <c:formatCode>0.000000</c:formatCode>
                <c:ptCount val="10"/>
                <c:pt idx="0">
                  <c:v>2.5832999999999995E-2</c:v>
                </c:pt>
                <c:pt idx="1">
                  <c:v>2.0832999999999997E-2</c:v>
                </c:pt>
                <c:pt idx="2">
                  <c:v>-5.0000000000000001E-3</c:v>
                </c:pt>
                <c:pt idx="3">
                  <c:v>-8.3299999999999997E-4</c:v>
                </c:pt>
                <c:pt idx="4">
                  <c:v>-4.6667E-2</c:v>
                </c:pt>
                <c:pt idx="5">
                  <c:v>-4.1250000000000002E-2</c:v>
                </c:pt>
                <c:pt idx="6">
                  <c:v>-7.1666999999999995E-2</c:v>
                </c:pt>
                <c:pt idx="7">
                  <c:v>-6.2082999999999999E-2</c:v>
                </c:pt>
                <c:pt idx="8">
                  <c:v>-6.8342E-2</c:v>
                </c:pt>
                <c:pt idx="9">
                  <c:v>-0.13180700000000001</c:v>
                </c:pt>
              </c:numCache>
            </c:numRef>
          </c:val>
          <c:extLst>
            <c:ext xmlns:c16="http://schemas.microsoft.com/office/drawing/2014/chart" uri="{C3380CC4-5D6E-409C-BE32-E72D297353CC}">
              <c16:uniqueId val="{00000004-0D15-4DAB-863E-F8A485CDA641}"/>
            </c:ext>
          </c:extLst>
        </c:ser>
        <c:ser>
          <c:idx val="5"/>
          <c:order val="5"/>
          <c:tx>
            <c:strRef>
              <c:f>Final_Mesh_022625!$A$127</c:f>
              <c:strCache>
                <c:ptCount val="1"/>
                <c:pt idx="0">
                  <c:v>119.22</c:v>
                </c:pt>
              </c:strCache>
            </c:strRef>
          </c:tx>
          <c:spPr>
            <a:solidFill>
              <a:schemeClr val="accent6"/>
            </a:solidFill>
            <a:ln/>
            <a:effectLst/>
            <a:sp3d/>
          </c:spPr>
          <c:cat>
            <c:numRef>
              <c:f>Final_Mesh_022625!$B$121:$K$121</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Final_Mesh_022625!$B$127:$K$127</c:f>
              <c:numCache>
                <c:formatCode>0.000000</c:formatCode>
                <c:ptCount val="10"/>
                <c:pt idx="0">
                  <c:v>3.4582999999999996E-2</c:v>
                </c:pt>
                <c:pt idx="1">
                  <c:v>2.0416999999999998E-2</c:v>
                </c:pt>
                <c:pt idx="2">
                  <c:v>-7.4999999999999997E-3</c:v>
                </c:pt>
                <c:pt idx="3">
                  <c:v>-6.6670000000000002E-3</c:v>
                </c:pt>
                <c:pt idx="4">
                  <c:v>-6.0832999999999998E-2</c:v>
                </c:pt>
                <c:pt idx="5">
                  <c:v>-5.3332999999999998E-2</c:v>
                </c:pt>
                <c:pt idx="6">
                  <c:v>-7.2499999999999995E-2</c:v>
                </c:pt>
                <c:pt idx="7">
                  <c:v>-6.6667000000000004E-2</c:v>
                </c:pt>
                <c:pt idx="8">
                  <c:v>-7.3721999999999996E-2</c:v>
                </c:pt>
                <c:pt idx="9">
                  <c:v>-0.134635</c:v>
                </c:pt>
              </c:numCache>
            </c:numRef>
          </c:val>
          <c:extLst>
            <c:ext xmlns:c16="http://schemas.microsoft.com/office/drawing/2014/chart" uri="{C3380CC4-5D6E-409C-BE32-E72D297353CC}">
              <c16:uniqueId val="{00000005-0D15-4DAB-863E-F8A485CDA641}"/>
            </c:ext>
          </c:extLst>
        </c:ser>
        <c:ser>
          <c:idx val="6"/>
          <c:order val="6"/>
          <c:tx>
            <c:strRef>
              <c:f>Final_Mesh_022625!$A$128</c:f>
              <c:strCache>
                <c:ptCount val="1"/>
                <c:pt idx="0">
                  <c:v>140.67</c:v>
                </c:pt>
              </c:strCache>
            </c:strRef>
          </c:tx>
          <c:spPr>
            <a:solidFill>
              <a:schemeClr val="accent1">
                <a:lumMod val="60000"/>
              </a:schemeClr>
            </a:solidFill>
            <a:ln/>
            <a:effectLst/>
            <a:sp3d/>
          </c:spPr>
          <c:cat>
            <c:numRef>
              <c:f>Final_Mesh_022625!$B$121:$K$121</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Final_Mesh_022625!$B$128:$K$128</c:f>
              <c:numCache>
                <c:formatCode>0.000000</c:formatCode>
                <c:ptCount val="10"/>
                <c:pt idx="0">
                  <c:v>2.8749999999999998E-2</c:v>
                </c:pt>
                <c:pt idx="1">
                  <c:v>2.1666999999999999E-2</c:v>
                </c:pt>
                <c:pt idx="2">
                  <c:v>-1.1667E-2</c:v>
                </c:pt>
                <c:pt idx="3">
                  <c:v>-6.6670000000000002E-3</c:v>
                </c:pt>
                <c:pt idx="4">
                  <c:v>-4.7500000000000001E-2</c:v>
                </c:pt>
                <c:pt idx="5">
                  <c:v>-4.6249999999999999E-2</c:v>
                </c:pt>
                <c:pt idx="6">
                  <c:v>-7.291700000000001E-2</c:v>
                </c:pt>
                <c:pt idx="7">
                  <c:v>-7.4167000000000011E-2</c:v>
                </c:pt>
                <c:pt idx="8">
                  <c:v>-8.4935999999999998E-2</c:v>
                </c:pt>
                <c:pt idx="9">
                  <c:v>-0.1352566</c:v>
                </c:pt>
              </c:numCache>
            </c:numRef>
          </c:val>
          <c:extLst>
            <c:ext xmlns:c16="http://schemas.microsoft.com/office/drawing/2014/chart" uri="{C3380CC4-5D6E-409C-BE32-E72D297353CC}">
              <c16:uniqueId val="{00000006-0D15-4DAB-863E-F8A485CDA641}"/>
            </c:ext>
          </c:extLst>
        </c:ser>
        <c:ser>
          <c:idx val="7"/>
          <c:order val="7"/>
          <c:tx>
            <c:strRef>
              <c:f>Final_Mesh_022625!$A$129</c:f>
              <c:strCache>
                <c:ptCount val="1"/>
                <c:pt idx="0">
                  <c:v>162.11</c:v>
                </c:pt>
              </c:strCache>
            </c:strRef>
          </c:tx>
          <c:spPr>
            <a:solidFill>
              <a:schemeClr val="accent2">
                <a:lumMod val="60000"/>
              </a:schemeClr>
            </a:solidFill>
            <a:ln/>
            <a:effectLst/>
            <a:sp3d/>
          </c:spPr>
          <c:cat>
            <c:numRef>
              <c:f>Final_Mesh_022625!$B$121:$K$121</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Final_Mesh_022625!$B$129:$K$129</c:f>
              <c:numCache>
                <c:formatCode>0.000000</c:formatCode>
                <c:ptCount val="10"/>
                <c:pt idx="0">
                  <c:v>2.375E-2</c:v>
                </c:pt>
                <c:pt idx="1">
                  <c:v>-1.7500000000000002E-2</c:v>
                </c:pt>
                <c:pt idx="2">
                  <c:v>-3.2500000000000001E-2</c:v>
                </c:pt>
                <c:pt idx="3">
                  <c:v>-1.5417E-2</c:v>
                </c:pt>
                <c:pt idx="4">
                  <c:v>-5.2083000000000004E-2</c:v>
                </c:pt>
                <c:pt idx="5">
                  <c:v>-5.2500000000000005E-2</c:v>
                </c:pt>
                <c:pt idx="6">
                  <c:v>-8.6249999999999993E-2</c:v>
                </c:pt>
                <c:pt idx="7">
                  <c:v>-8.5832999999999993E-2</c:v>
                </c:pt>
                <c:pt idx="8">
                  <c:v>-0.12198200000000001</c:v>
                </c:pt>
                <c:pt idx="9">
                  <c:v>-0.15133659999999999</c:v>
                </c:pt>
              </c:numCache>
            </c:numRef>
          </c:val>
          <c:extLst>
            <c:ext xmlns:c16="http://schemas.microsoft.com/office/drawing/2014/chart" uri="{C3380CC4-5D6E-409C-BE32-E72D297353CC}">
              <c16:uniqueId val="{00000007-0D15-4DAB-863E-F8A485CDA641}"/>
            </c:ext>
          </c:extLst>
        </c:ser>
        <c:ser>
          <c:idx val="8"/>
          <c:order val="8"/>
          <c:tx>
            <c:strRef>
              <c:f>Final_Mesh_022625!$A$130</c:f>
              <c:strCache>
                <c:ptCount val="1"/>
                <c:pt idx="0">
                  <c:v>183.56</c:v>
                </c:pt>
              </c:strCache>
            </c:strRef>
          </c:tx>
          <c:spPr>
            <a:solidFill>
              <a:schemeClr val="accent3">
                <a:lumMod val="60000"/>
              </a:schemeClr>
            </a:solidFill>
            <a:ln/>
            <a:effectLst/>
            <a:sp3d/>
          </c:spPr>
          <c:cat>
            <c:numRef>
              <c:f>Final_Mesh_022625!$B$121:$K$121</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Final_Mesh_022625!$B$130:$K$130</c:f>
              <c:numCache>
                <c:formatCode>0.000000</c:formatCode>
                <c:ptCount val="10"/>
                <c:pt idx="0">
                  <c:v>-7.0126999999999995E-2</c:v>
                </c:pt>
                <c:pt idx="1">
                  <c:v>-6.7500000000000004E-2</c:v>
                </c:pt>
                <c:pt idx="2">
                  <c:v>-6.8750000000000006E-2</c:v>
                </c:pt>
                <c:pt idx="3">
                  <c:v>-4.0417000000000002E-2</c:v>
                </c:pt>
                <c:pt idx="4">
                  <c:v>-6.7500000000000004E-2</c:v>
                </c:pt>
                <c:pt idx="5">
                  <c:v>-6.7083000000000004E-2</c:v>
                </c:pt>
                <c:pt idx="6">
                  <c:v>-9.3332999999999999E-2</c:v>
                </c:pt>
                <c:pt idx="7">
                  <c:v>-9.8750000000000004E-2</c:v>
                </c:pt>
                <c:pt idx="8">
                  <c:v>-0.16486600000000001</c:v>
                </c:pt>
                <c:pt idx="9">
                  <c:v>-0.17624700000000001</c:v>
                </c:pt>
              </c:numCache>
            </c:numRef>
          </c:val>
          <c:extLst>
            <c:ext xmlns:c16="http://schemas.microsoft.com/office/drawing/2014/chart" uri="{C3380CC4-5D6E-409C-BE32-E72D297353CC}">
              <c16:uniqueId val="{00000008-0D15-4DAB-863E-F8A485CDA641}"/>
            </c:ext>
          </c:extLst>
        </c:ser>
        <c:ser>
          <c:idx val="9"/>
          <c:order val="9"/>
          <c:tx>
            <c:strRef>
              <c:f>Final_Mesh_022625!$A$131</c:f>
              <c:strCache>
                <c:ptCount val="1"/>
                <c:pt idx="0">
                  <c:v>205.00</c:v>
                </c:pt>
              </c:strCache>
            </c:strRef>
          </c:tx>
          <c:spPr>
            <a:solidFill>
              <a:schemeClr val="accent4">
                <a:lumMod val="60000"/>
              </a:schemeClr>
            </a:solidFill>
            <a:ln/>
            <a:effectLst/>
            <a:sp3d/>
          </c:spPr>
          <c:cat>
            <c:numRef>
              <c:f>Final_Mesh_022625!$B$121:$K$121</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Final_Mesh_022625!$B$131:$K$131</c:f>
              <c:numCache>
                <c:formatCode>0.000000</c:formatCode>
                <c:ptCount val="10"/>
                <c:pt idx="0">
                  <c:v>-8.2589999999999997E-2</c:v>
                </c:pt>
                <c:pt idx="1">
                  <c:v>-5.0416999999999997E-2</c:v>
                </c:pt>
                <c:pt idx="2">
                  <c:v>-0.05</c:v>
                </c:pt>
                <c:pt idx="3">
                  <c:v>-1.7499999999999998E-2</c:v>
                </c:pt>
                <c:pt idx="4">
                  <c:v>-6.7083000000000004E-2</c:v>
                </c:pt>
                <c:pt idx="5">
                  <c:v>-7.0000000000000007E-2</c:v>
                </c:pt>
                <c:pt idx="6">
                  <c:v>-9.5000000000000001E-2</c:v>
                </c:pt>
                <c:pt idx="7">
                  <c:v>-0.1075</c:v>
                </c:pt>
                <c:pt idx="8">
                  <c:v>-0.163996</c:v>
                </c:pt>
                <c:pt idx="9">
                  <c:v>-0.17537700000000001</c:v>
                </c:pt>
              </c:numCache>
            </c:numRef>
          </c:val>
          <c:extLst>
            <c:ext xmlns:c16="http://schemas.microsoft.com/office/drawing/2014/chart" uri="{C3380CC4-5D6E-409C-BE32-E72D297353CC}">
              <c16:uniqueId val="{00000009-0D15-4DAB-863E-F8A485CDA641}"/>
            </c:ext>
          </c:extLst>
        </c:ser>
        <c:bandFmts>
          <c:bandFmt>
            <c:idx val="0"/>
            <c:spPr>
              <a:solidFill>
                <a:schemeClr val="accent1"/>
              </a:solidFill>
              <a:ln/>
              <a:effectLst/>
              <a:sp3d/>
            </c:spPr>
          </c:bandFmt>
          <c:bandFmt>
            <c:idx val="1"/>
            <c:spPr>
              <a:solidFill>
                <a:schemeClr val="accent2"/>
              </a:solidFill>
              <a:ln/>
              <a:effectLst/>
              <a:sp3d/>
            </c:spPr>
          </c:bandFmt>
          <c:bandFmt>
            <c:idx val="2"/>
            <c:spPr>
              <a:solidFill>
                <a:schemeClr val="accent3"/>
              </a:solidFill>
              <a:ln/>
              <a:effectLst/>
              <a:sp3d/>
            </c:spPr>
          </c:bandFmt>
          <c:bandFmt>
            <c:idx val="3"/>
            <c:spPr>
              <a:solidFill>
                <a:schemeClr val="accent4"/>
              </a:solidFill>
              <a:ln/>
              <a:effectLst/>
              <a:sp3d/>
            </c:spPr>
          </c:bandFmt>
          <c:bandFmt>
            <c:idx val="4"/>
            <c:spPr>
              <a:solidFill>
                <a:schemeClr val="accent5"/>
              </a:solidFill>
              <a:ln/>
              <a:effectLst/>
              <a:sp3d/>
            </c:spPr>
          </c:bandFmt>
          <c:bandFmt>
            <c:idx val="5"/>
            <c:spPr>
              <a:solidFill>
                <a:schemeClr val="accent6"/>
              </a:solidFill>
              <a:ln/>
              <a:effectLst/>
              <a:sp3d/>
            </c:spPr>
          </c:bandFmt>
          <c:bandFmt>
            <c:idx val="6"/>
            <c:spPr>
              <a:solidFill>
                <a:schemeClr val="accent1">
                  <a:lumMod val="60000"/>
                </a:schemeClr>
              </a:solidFill>
              <a:ln/>
              <a:effectLst/>
              <a:sp3d/>
            </c:spPr>
          </c:bandFmt>
          <c:bandFmt>
            <c:idx val="7"/>
            <c:spPr>
              <a:solidFill>
                <a:schemeClr val="accent2">
                  <a:lumMod val="60000"/>
                </a:schemeClr>
              </a:solidFill>
              <a:ln/>
              <a:effectLst/>
              <a:sp3d/>
            </c:spPr>
          </c:bandFmt>
          <c:bandFmt>
            <c:idx val="8"/>
            <c:spPr>
              <a:solidFill>
                <a:schemeClr val="accent3">
                  <a:lumMod val="60000"/>
                </a:schemeClr>
              </a:solidFill>
              <a:ln/>
              <a:effectLst/>
              <a:sp3d/>
            </c:spPr>
          </c:bandFmt>
          <c:bandFmt>
            <c:idx val="9"/>
            <c:spPr>
              <a:solidFill>
                <a:schemeClr val="accent4">
                  <a:lumMod val="60000"/>
                </a:schemeClr>
              </a:solidFill>
              <a:ln/>
              <a:effectLst/>
              <a:sp3d/>
            </c:spPr>
          </c:bandFmt>
          <c:bandFmt>
            <c:idx val="10"/>
            <c:spPr>
              <a:solidFill>
                <a:schemeClr val="accent5">
                  <a:lumMod val="60000"/>
                </a:schemeClr>
              </a:solidFill>
              <a:ln/>
              <a:effectLst/>
              <a:sp3d/>
            </c:spPr>
          </c:bandFmt>
          <c:bandFmt>
            <c:idx val="11"/>
            <c:spPr>
              <a:solidFill>
                <a:schemeClr val="accent6">
                  <a:lumMod val="60000"/>
                </a:schemeClr>
              </a:solidFill>
              <a:ln/>
              <a:effectLst/>
              <a:sp3d/>
            </c:spPr>
          </c:bandFmt>
          <c:bandFmt>
            <c:idx val="12"/>
            <c:spPr>
              <a:solidFill>
                <a:schemeClr val="accent1">
                  <a:lumMod val="80000"/>
                  <a:lumOff val="20000"/>
                </a:schemeClr>
              </a:solidFill>
              <a:ln/>
              <a:effectLst/>
              <a:sp3d/>
            </c:spPr>
          </c:bandFmt>
          <c:bandFmt>
            <c:idx val="13"/>
            <c:spPr>
              <a:solidFill>
                <a:schemeClr val="accent2">
                  <a:lumMod val="80000"/>
                  <a:lumOff val="20000"/>
                </a:schemeClr>
              </a:solidFill>
              <a:ln/>
              <a:effectLst/>
              <a:sp3d/>
            </c:spPr>
          </c:bandFmt>
          <c:bandFmt>
            <c:idx val="14"/>
            <c:spPr>
              <a:solidFill>
                <a:schemeClr val="accent3">
                  <a:lumMod val="80000"/>
                  <a:lumOff val="20000"/>
                </a:schemeClr>
              </a:solidFill>
              <a:ln/>
              <a:effectLst/>
              <a:sp3d/>
            </c:spPr>
          </c:bandFmt>
        </c:bandFmts>
        <c:axId val="1852005248"/>
        <c:axId val="1852020128"/>
        <c:axId val="2097116336"/>
      </c:surface3DChart>
      <c:catAx>
        <c:axId val="1852005248"/>
        <c:scaling>
          <c:orientation val="minMax"/>
        </c:scaling>
        <c:delete val="0"/>
        <c:axPos val="b"/>
        <c:numFmt formatCode="0.00"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2020128"/>
        <c:crosses val="autoZero"/>
        <c:auto val="1"/>
        <c:lblAlgn val="ctr"/>
        <c:lblOffset val="100"/>
        <c:noMultiLvlLbl val="0"/>
      </c:catAx>
      <c:valAx>
        <c:axId val="1852020128"/>
        <c:scaling>
          <c:orientation val="minMax"/>
          <c:max val="0.2"/>
          <c:min val="-0.30000000000000004"/>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2005248"/>
        <c:crosses val="autoZero"/>
        <c:crossBetween val="midCat"/>
        <c:majorUnit val="5.000000000000001E-2"/>
      </c:valAx>
      <c:serAx>
        <c:axId val="2097116336"/>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2020128"/>
        <c:crosses val="autoZero"/>
      </c:ser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Final Manually Altered</a:t>
            </a:r>
            <a:r>
              <a:rPr lang="en-US" baseline="0"/>
              <a:t> Mesh</a:t>
            </a:r>
          </a:p>
        </c:rich>
      </c:tx>
      <c:overlay val="0"/>
      <c:spPr>
        <a:noFill/>
        <a:ln>
          <a:noFill/>
        </a:ln>
        <a:effectLst/>
      </c:spPr>
    </c:title>
    <c:autoTitleDeleted val="0"/>
    <c:view3D>
      <c:rotX val="90"/>
      <c:rotY val="0"/>
      <c:rAngAx val="0"/>
      <c:perspective val="0"/>
    </c:view3D>
    <c:floor>
      <c:thickness val="0"/>
      <c:spPr>
        <a:solidFill>
          <a:schemeClr val="tx1"/>
        </a:solidFill>
        <a:ln w="57150">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2.4003915494169786E-2"/>
          <c:y val="0.12873603063767972"/>
          <c:w val="0.83233993804053175"/>
          <c:h val="0.54576932600406081"/>
        </c:manualLayout>
      </c:layout>
      <c:surfaceChart>
        <c:wireframe val="1"/>
        <c:ser>
          <c:idx val="0"/>
          <c:order val="0"/>
          <c:tx>
            <c:strRef>
              <c:f>Final_Mesh_022625!$A$122</c:f>
              <c:strCache>
                <c:ptCount val="1"/>
                <c:pt idx="0">
                  <c:v>12.00</c:v>
                </c:pt>
              </c:strCache>
            </c:strRef>
          </c:tx>
          <c:spPr>
            <a:ln w="9525" cap="rnd">
              <a:solidFill>
                <a:schemeClr val="accent1"/>
              </a:solidFill>
              <a:round/>
            </a:ln>
            <a:effectLst/>
          </c:spPr>
          <c:cat>
            <c:numRef>
              <c:f>Final_Mesh_022625!$B$121:$K$121</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Final_Mesh_022625!$B$122:$K$122</c:f>
              <c:numCache>
                <c:formatCode>0.000000</c:formatCode>
                <c:ptCount val="10"/>
                <c:pt idx="0">
                  <c:v>2.5725999999999992E-2</c:v>
                </c:pt>
                <c:pt idx="1">
                  <c:v>-7.4166999999999997E-2</c:v>
                </c:pt>
                <c:pt idx="2">
                  <c:v>-0.126667</c:v>
                </c:pt>
                <c:pt idx="3">
                  <c:v>-0.11</c:v>
                </c:pt>
                <c:pt idx="4">
                  <c:v>-0.129583</c:v>
                </c:pt>
                <c:pt idx="5">
                  <c:v>-0.10875</c:v>
                </c:pt>
                <c:pt idx="6">
                  <c:v>-0.127083</c:v>
                </c:pt>
                <c:pt idx="7">
                  <c:v>-0.12125</c:v>
                </c:pt>
                <c:pt idx="8">
                  <c:v>-0.10276300000000001</c:v>
                </c:pt>
                <c:pt idx="9">
                  <c:v>-0.13081100000000001</c:v>
                </c:pt>
              </c:numCache>
            </c:numRef>
          </c:val>
          <c:extLst>
            <c:ext xmlns:c16="http://schemas.microsoft.com/office/drawing/2014/chart" uri="{C3380CC4-5D6E-409C-BE32-E72D297353CC}">
              <c16:uniqueId val="{00000000-D880-4E33-A0A0-58CEA752526F}"/>
            </c:ext>
          </c:extLst>
        </c:ser>
        <c:ser>
          <c:idx val="1"/>
          <c:order val="1"/>
          <c:tx>
            <c:strRef>
              <c:f>Final_Mesh_022625!$A$123</c:f>
              <c:strCache>
                <c:ptCount val="1"/>
                <c:pt idx="0">
                  <c:v>33.44</c:v>
                </c:pt>
              </c:strCache>
            </c:strRef>
          </c:tx>
          <c:spPr>
            <a:ln w="9525" cap="rnd">
              <a:solidFill>
                <a:schemeClr val="accent2"/>
              </a:solidFill>
              <a:round/>
            </a:ln>
            <a:effectLst/>
          </c:spPr>
          <c:cat>
            <c:numRef>
              <c:f>Final_Mesh_022625!$B$121:$K$121</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Final_Mesh_022625!$B$123:$K$123</c:f>
              <c:numCache>
                <c:formatCode>0.000000</c:formatCode>
                <c:ptCount val="10"/>
                <c:pt idx="0">
                  <c:v>-3.5409999999999955E-3</c:v>
                </c:pt>
                <c:pt idx="1">
                  <c:v>-6.2082999999999999E-2</c:v>
                </c:pt>
                <c:pt idx="2">
                  <c:v>-0.1</c:v>
                </c:pt>
                <c:pt idx="3">
                  <c:v>-8.6249999999999993E-2</c:v>
                </c:pt>
                <c:pt idx="4">
                  <c:v>-0.104167</c:v>
                </c:pt>
                <c:pt idx="5">
                  <c:v>-9.375E-2</c:v>
                </c:pt>
                <c:pt idx="6">
                  <c:v>-0.104167</c:v>
                </c:pt>
                <c:pt idx="7">
                  <c:v>-9.0832999999999997E-2</c:v>
                </c:pt>
                <c:pt idx="8">
                  <c:v>-9.1197E-2</c:v>
                </c:pt>
                <c:pt idx="9">
                  <c:v>-0.12132800000000001</c:v>
                </c:pt>
              </c:numCache>
            </c:numRef>
          </c:val>
          <c:extLst>
            <c:ext xmlns:c16="http://schemas.microsoft.com/office/drawing/2014/chart" uri="{C3380CC4-5D6E-409C-BE32-E72D297353CC}">
              <c16:uniqueId val="{00000001-D880-4E33-A0A0-58CEA752526F}"/>
            </c:ext>
          </c:extLst>
        </c:ser>
        <c:ser>
          <c:idx val="2"/>
          <c:order val="2"/>
          <c:tx>
            <c:strRef>
              <c:f>Final_Mesh_022625!$A$124</c:f>
              <c:strCache>
                <c:ptCount val="1"/>
                <c:pt idx="0">
                  <c:v>54.89</c:v>
                </c:pt>
              </c:strCache>
            </c:strRef>
          </c:tx>
          <c:spPr>
            <a:ln w="9525" cap="rnd">
              <a:solidFill>
                <a:schemeClr val="accent3"/>
              </a:solidFill>
              <a:round/>
            </a:ln>
            <a:effectLst/>
          </c:spPr>
          <c:cat>
            <c:numRef>
              <c:f>Final_Mesh_022625!$B$121:$K$121</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Final_Mesh_022625!$B$124:$K$124</c:f>
              <c:numCache>
                <c:formatCode>0.000000</c:formatCode>
                <c:ptCount val="10"/>
                <c:pt idx="0">
                  <c:v>8.3300000000000041E-4</c:v>
                </c:pt>
                <c:pt idx="1">
                  <c:v>2.5000000000000005E-3</c:v>
                </c:pt>
                <c:pt idx="2">
                  <c:v>-4.5832999999999999E-2</c:v>
                </c:pt>
                <c:pt idx="3">
                  <c:v>-4.4166999999999998E-2</c:v>
                </c:pt>
                <c:pt idx="4">
                  <c:v>-7.6249999999999998E-2</c:v>
                </c:pt>
                <c:pt idx="5">
                  <c:v>-6.3333E-2</c:v>
                </c:pt>
                <c:pt idx="6">
                  <c:v>-8.5417000000000007E-2</c:v>
                </c:pt>
                <c:pt idx="7">
                  <c:v>-7.2916999999999996E-2</c:v>
                </c:pt>
                <c:pt idx="8">
                  <c:v>-8.2964999999999997E-2</c:v>
                </c:pt>
                <c:pt idx="9">
                  <c:v>-0.106429</c:v>
                </c:pt>
              </c:numCache>
            </c:numRef>
          </c:val>
          <c:extLst>
            <c:ext xmlns:c16="http://schemas.microsoft.com/office/drawing/2014/chart" uri="{C3380CC4-5D6E-409C-BE32-E72D297353CC}">
              <c16:uniqueId val="{00000002-D880-4E33-A0A0-58CEA752526F}"/>
            </c:ext>
          </c:extLst>
        </c:ser>
        <c:ser>
          <c:idx val="3"/>
          <c:order val="3"/>
          <c:tx>
            <c:strRef>
              <c:f>Final_Mesh_022625!$A$125</c:f>
              <c:strCache>
                <c:ptCount val="1"/>
                <c:pt idx="0">
                  <c:v>76.33</c:v>
                </c:pt>
              </c:strCache>
            </c:strRef>
          </c:tx>
          <c:spPr>
            <a:ln w="9525" cap="rnd">
              <a:solidFill>
                <a:schemeClr val="accent4"/>
              </a:solidFill>
              <a:round/>
            </a:ln>
            <a:effectLst/>
          </c:spPr>
          <c:cat>
            <c:numRef>
              <c:f>Final_Mesh_022625!$B$121:$K$121</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Final_Mesh_022625!$B$125:$K$125</c:f>
              <c:numCache>
                <c:formatCode>0.000000</c:formatCode>
                <c:ptCount val="10"/>
                <c:pt idx="0">
                  <c:v>9.5829999999999995E-3</c:v>
                </c:pt>
                <c:pt idx="1">
                  <c:v>-4.170000000000007E-4</c:v>
                </c:pt>
                <c:pt idx="2">
                  <c:v>-2.7917000000000001E-2</c:v>
                </c:pt>
                <c:pt idx="3">
                  <c:v>-1.7916999999999999E-2</c:v>
                </c:pt>
                <c:pt idx="4">
                  <c:v>-5.5417000000000001E-2</c:v>
                </c:pt>
                <c:pt idx="5">
                  <c:v>-4.5416999999999999E-2</c:v>
                </c:pt>
                <c:pt idx="6">
                  <c:v>-7.0000000000000007E-2</c:v>
                </c:pt>
                <c:pt idx="7">
                  <c:v>-5.9582999999999997E-2</c:v>
                </c:pt>
                <c:pt idx="8">
                  <c:v>-5.8068999999999996E-2</c:v>
                </c:pt>
                <c:pt idx="9">
                  <c:v>-0.114033</c:v>
                </c:pt>
              </c:numCache>
            </c:numRef>
          </c:val>
          <c:extLst>
            <c:ext xmlns:c16="http://schemas.microsoft.com/office/drawing/2014/chart" uri="{C3380CC4-5D6E-409C-BE32-E72D297353CC}">
              <c16:uniqueId val="{00000003-D880-4E33-A0A0-58CEA752526F}"/>
            </c:ext>
          </c:extLst>
        </c:ser>
        <c:ser>
          <c:idx val="4"/>
          <c:order val="4"/>
          <c:tx>
            <c:strRef>
              <c:f>Final_Mesh_022625!$A$126</c:f>
              <c:strCache>
                <c:ptCount val="1"/>
                <c:pt idx="0">
                  <c:v>97.78</c:v>
                </c:pt>
              </c:strCache>
            </c:strRef>
          </c:tx>
          <c:spPr>
            <a:ln w="9525" cap="rnd">
              <a:solidFill>
                <a:schemeClr val="accent5"/>
              </a:solidFill>
              <a:round/>
            </a:ln>
            <a:effectLst/>
          </c:spPr>
          <c:cat>
            <c:numRef>
              <c:f>Final_Mesh_022625!$B$121:$K$121</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Final_Mesh_022625!$B$126:$K$126</c:f>
              <c:numCache>
                <c:formatCode>0.000000</c:formatCode>
                <c:ptCount val="10"/>
                <c:pt idx="0">
                  <c:v>2.5832999999999995E-2</c:v>
                </c:pt>
                <c:pt idx="1">
                  <c:v>2.0832999999999997E-2</c:v>
                </c:pt>
                <c:pt idx="2">
                  <c:v>-5.0000000000000001E-3</c:v>
                </c:pt>
                <c:pt idx="3">
                  <c:v>-8.3299999999999997E-4</c:v>
                </c:pt>
                <c:pt idx="4">
                  <c:v>-4.6667E-2</c:v>
                </c:pt>
                <c:pt idx="5">
                  <c:v>-4.1250000000000002E-2</c:v>
                </c:pt>
                <c:pt idx="6">
                  <c:v>-7.1666999999999995E-2</c:v>
                </c:pt>
                <c:pt idx="7">
                  <c:v>-6.2082999999999999E-2</c:v>
                </c:pt>
                <c:pt idx="8">
                  <c:v>-6.8342E-2</c:v>
                </c:pt>
                <c:pt idx="9">
                  <c:v>-0.13180700000000001</c:v>
                </c:pt>
              </c:numCache>
            </c:numRef>
          </c:val>
          <c:extLst>
            <c:ext xmlns:c16="http://schemas.microsoft.com/office/drawing/2014/chart" uri="{C3380CC4-5D6E-409C-BE32-E72D297353CC}">
              <c16:uniqueId val="{00000004-D880-4E33-A0A0-58CEA752526F}"/>
            </c:ext>
          </c:extLst>
        </c:ser>
        <c:ser>
          <c:idx val="5"/>
          <c:order val="5"/>
          <c:tx>
            <c:strRef>
              <c:f>Final_Mesh_022625!$A$127</c:f>
              <c:strCache>
                <c:ptCount val="1"/>
                <c:pt idx="0">
                  <c:v>119.22</c:v>
                </c:pt>
              </c:strCache>
            </c:strRef>
          </c:tx>
          <c:spPr>
            <a:ln w="9525" cap="rnd">
              <a:solidFill>
                <a:schemeClr val="accent6"/>
              </a:solidFill>
              <a:round/>
            </a:ln>
            <a:effectLst/>
          </c:spPr>
          <c:cat>
            <c:numRef>
              <c:f>Final_Mesh_022625!$B$121:$K$121</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Final_Mesh_022625!$B$127:$K$127</c:f>
              <c:numCache>
                <c:formatCode>0.000000</c:formatCode>
                <c:ptCount val="10"/>
                <c:pt idx="0">
                  <c:v>3.4582999999999996E-2</c:v>
                </c:pt>
                <c:pt idx="1">
                  <c:v>2.0416999999999998E-2</c:v>
                </c:pt>
                <c:pt idx="2">
                  <c:v>-7.4999999999999997E-3</c:v>
                </c:pt>
                <c:pt idx="3">
                  <c:v>-6.6670000000000002E-3</c:v>
                </c:pt>
                <c:pt idx="4">
                  <c:v>-6.0832999999999998E-2</c:v>
                </c:pt>
                <c:pt idx="5">
                  <c:v>-5.3332999999999998E-2</c:v>
                </c:pt>
                <c:pt idx="6">
                  <c:v>-7.2499999999999995E-2</c:v>
                </c:pt>
                <c:pt idx="7">
                  <c:v>-6.6667000000000004E-2</c:v>
                </c:pt>
                <c:pt idx="8">
                  <c:v>-7.3721999999999996E-2</c:v>
                </c:pt>
                <c:pt idx="9">
                  <c:v>-0.134635</c:v>
                </c:pt>
              </c:numCache>
            </c:numRef>
          </c:val>
          <c:extLst>
            <c:ext xmlns:c16="http://schemas.microsoft.com/office/drawing/2014/chart" uri="{C3380CC4-5D6E-409C-BE32-E72D297353CC}">
              <c16:uniqueId val="{00000005-D880-4E33-A0A0-58CEA752526F}"/>
            </c:ext>
          </c:extLst>
        </c:ser>
        <c:ser>
          <c:idx val="6"/>
          <c:order val="6"/>
          <c:tx>
            <c:strRef>
              <c:f>Final_Mesh_022625!$A$128</c:f>
              <c:strCache>
                <c:ptCount val="1"/>
                <c:pt idx="0">
                  <c:v>140.67</c:v>
                </c:pt>
              </c:strCache>
            </c:strRef>
          </c:tx>
          <c:spPr>
            <a:ln w="9525" cap="rnd">
              <a:solidFill>
                <a:schemeClr val="accent1">
                  <a:lumMod val="60000"/>
                </a:schemeClr>
              </a:solidFill>
              <a:round/>
            </a:ln>
            <a:effectLst/>
          </c:spPr>
          <c:cat>
            <c:numRef>
              <c:f>Final_Mesh_022625!$B$121:$K$121</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Final_Mesh_022625!$B$128:$K$128</c:f>
              <c:numCache>
                <c:formatCode>0.000000</c:formatCode>
                <c:ptCount val="10"/>
                <c:pt idx="0">
                  <c:v>2.8749999999999998E-2</c:v>
                </c:pt>
                <c:pt idx="1">
                  <c:v>2.1666999999999999E-2</c:v>
                </c:pt>
                <c:pt idx="2">
                  <c:v>-1.1667E-2</c:v>
                </c:pt>
                <c:pt idx="3">
                  <c:v>-6.6670000000000002E-3</c:v>
                </c:pt>
                <c:pt idx="4">
                  <c:v>-4.7500000000000001E-2</c:v>
                </c:pt>
                <c:pt idx="5">
                  <c:v>-4.6249999999999999E-2</c:v>
                </c:pt>
                <c:pt idx="6">
                  <c:v>-7.291700000000001E-2</c:v>
                </c:pt>
                <c:pt idx="7">
                  <c:v>-7.4167000000000011E-2</c:v>
                </c:pt>
                <c:pt idx="8">
                  <c:v>-8.4935999999999998E-2</c:v>
                </c:pt>
                <c:pt idx="9">
                  <c:v>-0.1352566</c:v>
                </c:pt>
              </c:numCache>
            </c:numRef>
          </c:val>
          <c:extLst>
            <c:ext xmlns:c16="http://schemas.microsoft.com/office/drawing/2014/chart" uri="{C3380CC4-5D6E-409C-BE32-E72D297353CC}">
              <c16:uniqueId val="{00000006-D880-4E33-A0A0-58CEA752526F}"/>
            </c:ext>
          </c:extLst>
        </c:ser>
        <c:ser>
          <c:idx val="7"/>
          <c:order val="7"/>
          <c:tx>
            <c:strRef>
              <c:f>Final_Mesh_022625!$A$129</c:f>
              <c:strCache>
                <c:ptCount val="1"/>
                <c:pt idx="0">
                  <c:v>162.11</c:v>
                </c:pt>
              </c:strCache>
            </c:strRef>
          </c:tx>
          <c:spPr>
            <a:ln w="9525" cap="rnd">
              <a:solidFill>
                <a:schemeClr val="accent2">
                  <a:lumMod val="60000"/>
                </a:schemeClr>
              </a:solidFill>
              <a:round/>
            </a:ln>
            <a:effectLst/>
          </c:spPr>
          <c:cat>
            <c:numRef>
              <c:f>Final_Mesh_022625!$B$121:$K$121</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Final_Mesh_022625!$B$129:$K$129</c:f>
              <c:numCache>
                <c:formatCode>0.000000</c:formatCode>
                <c:ptCount val="10"/>
                <c:pt idx="0">
                  <c:v>2.375E-2</c:v>
                </c:pt>
                <c:pt idx="1">
                  <c:v>-1.7500000000000002E-2</c:v>
                </c:pt>
                <c:pt idx="2">
                  <c:v>-3.2500000000000001E-2</c:v>
                </c:pt>
                <c:pt idx="3">
                  <c:v>-1.5417E-2</c:v>
                </c:pt>
                <c:pt idx="4">
                  <c:v>-5.2083000000000004E-2</c:v>
                </c:pt>
                <c:pt idx="5">
                  <c:v>-5.2500000000000005E-2</c:v>
                </c:pt>
                <c:pt idx="6">
                  <c:v>-8.6249999999999993E-2</c:v>
                </c:pt>
                <c:pt idx="7">
                  <c:v>-8.5832999999999993E-2</c:v>
                </c:pt>
                <c:pt idx="8">
                  <c:v>-0.12198200000000001</c:v>
                </c:pt>
                <c:pt idx="9">
                  <c:v>-0.15133659999999999</c:v>
                </c:pt>
              </c:numCache>
            </c:numRef>
          </c:val>
          <c:extLst>
            <c:ext xmlns:c16="http://schemas.microsoft.com/office/drawing/2014/chart" uri="{C3380CC4-5D6E-409C-BE32-E72D297353CC}">
              <c16:uniqueId val="{00000007-D880-4E33-A0A0-58CEA752526F}"/>
            </c:ext>
          </c:extLst>
        </c:ser>
        <c:ser>
          <c:idx val="8"/>
          <c:order val="8"/>
          <c:tx>
            <c:strRef>
              <c:f>Final_Mesh_022625!$A$130</c:f>
              <c:strCache>
                <c:ptCount val="1"/>
                <c:pt idx="0">
                  <c:v>183.56</c:v>
                </c:pt>
              </c:strCache>
            </c:strRef>
          </c:tx>
          <c:spPr>
            <a:ln w="9525" cap="rnd">
              <a:solidFill>
                <a:schemeClr val="accent3">
                  <a:lumMod val="60000"/>
                </a:schemeClr>
              </a:solidFill>
              <a:round/>
            </a:ln>
            <a:effectLst/>
          </c:spPr>
          <c:cat>
            <c:numRef>
              <c:f>Final_Mesh_022625!$B$121:$K$121</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Final_Mesh_022625!$B$130:$K$130</c:f>
              <c:numCache>
                <c:formatCode>0.000000</c:formatCode>
                <c:ptCount val="10"/>
                <c:pt idx="0">
                  <c:v>-7.0126999999999995E-2</c:v>
                </c:pt>
                <c:pt idx="1">
                  <c:v>-6.7500000000000004E-2</c:v>
                </c:pt>
                <c:pt idx="2">
                  <c:v>-6.8750000000000006E-2</c:v>
                </c:pt>
                <c:pt idx="3">
                  <c:v>-4.0417000000000002E-2</c:v>
                </c:pt>
                <c:pt idx="4">
                  <c:v>-6.7500000000000004E-2</c:v>
                </c:pt>
                <c:pt idx="5">
                  <c:v>-6.7083000000000004E-2</c:v>
                </c:pt>
                <c:pt idx="6">
                  <c:v>-9.3332999999999999E-2</c:v>
                </c:pt>
                <c:pt idx="7">
                  <c:v>-9.8750000000000004E-2</c:v>
                </c:pt>
                <c:pt idx="8">
                  <c:v>-0.16486600000000001</c:v>
                </c:pt>
                <c:pt idx="9">
                  <c:v>-0.17624700000000001</c:v>
                </c:pt>
              </c:numCache>
            </c:numRef>
          </c:val>
          <c:extLst>
            <c:ext xmlns:c16="http://schemas.microsoft.com/office/drawing/2014/chart" uri="{C3380CC4-5D6E-409C-BE32-E72D297353CC}">
              <c16:uniqueId val="{00000008-D880-4E33-A0A0-58CEA752526F}"/>
            </c:ext>
          </c:extLst>
        </c:ser>
        <c:ser>
          <c:idx val="9"/>
          <c:order val="9"/>
          <c:tx>
            <c:strRef>
              <c:f>Final_Mesh_022625!$A$131</c:f>
              <c:strCache>
                <c:ptCount val="1"/>
                <c:pt idx="0">
                  <c:v>205.00</c:v>
                </c:pt>
              </c:strCache>
            </c:strRef>
          </c:tx>
          <c:spPr>
            <a:ln w="9525" cap="rnd">
              <a:solidFill>
                <a:schemeClr val="accent4">
                  <a:lumMod val="60000"/>
                </a:schemeClr>
              </a:solidFill>
              <a:round/>
            </a:ln>
            <a:effectLst/>
          </c:spPr>
          <c:cat>
            <c:numRef>
              <c:f>Final_Mesh_022625!$B$121:$K$121</c:f>
              <c:numCache>
                <c:formatCode>0.00</c:formatCode>
                <c:ptCount val="10"/>
                <c:pt idx="0">
                  <c:v>27</c:v>
                </c:pt>
                <c:pt idx="1">
                  <c:v>47.333333333333329</c:v>
                </c:pt>
                <c:pt idx="2">
                  <c:v>67.666666666666657</c:v>
                </c:pt>
                <c:pt idx="3">
                  <c:v>87.999999999999986</c:v>
                </c:pt>
                <c:pt idx="4">
                  <c:v>108.33333333333331</c:v>
                </c:pt>
                <c:pt idx="5">
                  <c:v>128.66666666666666</c:v>
                </c:pt>
                <c:pt idx="6">
                  <c:v>149</c:v>
                </c:pt>
                <c:pt idx="7">
                  <c:v>169.33333333333334</c:v>
                </c:pt>
                <c:pt idx="8">
                  <c:v>189.66666666666669</c:v>
                </c:pt>
                <c:pt idx="9">
                  <c:v>210</c:v>
                </c:pt>
              </c:numCache>
            </c:numRef>
          </c:cat>
          <c:val>
            <c:numRef>
              <c:f>Final_Mesh_022625!$B$131:$K$131</c:f>
              <c:numCache>
                <c:formatCode>0.000000</c:formatCode>
                <c:ptCount val="10"/>
                <c:pt idx="0">
                  <c:v>-8.2589999999999997E-2</c:v>
                </c:pt>
                <c:pt idx="1">
                  <c:v>-5.0416999999999997E-2</c:v>
                </c:pt>
                <c:pt idx="2">
                  <c:v>-0.05</c:v>
                </c:pt>
                <c:pt idx="3">
                  <c:v>-1.7499999999999998E-2</c:v>
                </c:pt>
                <c:pt idx="4">
                  <c:v>-6.7083000000000004E-2</c:v>
                </c:pt>
                <c:pt idx="5">
                  <c:v>-7.0000000000000007E-2</c:v>
                </c:pt>
                <c:pt idx="6">
                  <c:v>-9.5000000000000001E-2</c:v>
                </c:pt>
                <c:pt idx="7">
                  <c:v>-0.1075</c:v>
                </c:pt>
                <c:pt idx="8">
                  <c:v>-0.163996</c:v>
                </c:pt>
                <c:pt idx="9">
                  <c:v>-0.17537700000000001</c:v>
                </c:pt>
              </c:numCache>
            </c:numRef>
          </c:val>
          <c:extLst>
            <c:ext xmlns:c16="http://schemas.microsoft.com/office/drawing/2014/chart" uri="{C3380CC4-5D6E-409C-BE32-E72D297353CC}">
              <c16:uniqueId val="{00000009-D880-4E33-A0A0-58CEA752526F}"/>
            </c:ext>
          </c:extLst>
        </c:ser>
        <c:bandFmts>
          <c:bandFmt>
            <c:idx val="0"/>
            <c:spPr>
              <a:ln w="9525" cap="rnd">
                <a:solidFill>
                  <a:schemeClr val="accent1"/>
                </a:solidFill>
                <a:round/>
              </a:ln>
              <a:effectLst/>
            </c:spPr>
          </c:bandFmt>
          <c:bandFmt>
            <c:idx val="1"/>
            <c:spPr>
              <a:ln w="9525" cap="rnd">
                <a:solidFill>
                  <a:schemeClr val="accent2"/>
                </a:solidFill>
                <a:round/>
              </a:ln>
              <a:effectLst/>
            </c:spPr>
          </c:bandFmt>
          <c:bandFmt>
            <c:idx val="2"/>
            <c:spPr>
              <a:ln w="9525" cap="rnd">
                <a:solidFill>
                  <a:schemeClr val="accent3"/>
                </a:solidFill>
                <a:round/>
              </a:ln>
              <a:effectLst/>
            </c:spPr>
          </c:bandFmt>
          <c:bandFmt>
            <c:idx val="3"/>
            <c:spPr>
              <a:ln w="9525" cap="rnd">
                <a:solidFill>
                  <a:schemeClr val="accent4"/>
                </a:solidFill>
                <a:round/>
              </a:ln>
              <a:effectLst/>
            </c:spPr>
          </c:bandFmt>
          <c:bandFmt>
            <c:idx val="4"/>
            <c:spPr>
              <a:ln w="9525" cap="rnd">
                <a:solidFill>
                  <a:schemeClr val="accent5"/>
                </a:solidFill>
                <a:round/>
              </a:ln>
              <a:effectLst/>
            </c:spPr>
          </c:bandFmt>
          <c:bandFmt>
            <c:idx val="5"/>
            <c:spPr>
              <a:ln w="9525" cap="rnd">
                <a:solidFill>
                  <a:schemeClr val="accent6"/>
                </a:solidFill>
                <a:round/>
              </a:ln>
              <a:effectLst/>
            </c:spPr>
          </c:bandFmt>
          <c:bandFmt>
            <c:idx val="6"/>
            <c:spPr>
              <a:ln w="9525" cap="rnd">
                <a:solidFill>
                  <a:schemeClr val="accent1">
                    <a:lumMod val="60000"/>
                  </a:schemeClr>
                </a:solidFill>
                <a:round/>
              </a:ln>
              <a:effectLst/>
            </c:spPr>
          </c:bandFmt>
          <c:bandFmt>
            <c:idx val="7"/>
            <c:spPr>
              <a:ln w="9525" cap="rnd">
                <a:solidFill>
                  <a:schemeClr val="accent2">
                    <a:lumMod val="60000"/>
                  </a:schemeClr>
                </a:solidFill>
                <a:round/>
              </a:ln>
              <a:effectLst/>
            </c:spPr>
          </c:bandFmt>
          <c:bandFmt>
            <c:idx val="8"/>
            <c:spPr>
              <a:ln w="9525" cap="rnd">
                <a:solidFill>
                  <a:schemeClr val="accent3">
                    <a:lumMod val="60000"/>
                  </a:schemeClr>
                </a:solidFill>
                <a:round/>
              </a:ln>
              <a:effectLst/>
            </c:spPr>
          </c:bandFmt>
          <c:bandFmt>
            <c:idx val="9"/>
            <c:spPr>
              <a:ln w="9525" cap="rnd">
                <a:solidFill>
                  <a:schemeClr val="accent4">
                    <a:lumMod val="60000"/>
                  </a:schemeClr>
                </a:solidFill>
                <a:round/>
              </a:ln>
              <a:effectLst/>
            </c:spPr>
          </c:bandFmt>
          <c:bandFmt>
            <c:idx val="10"/>
            <c:spPr>
              <a:ln w="9525" cap="rnd">
                <a:solidFill>
                  <a:schemeClr val="accent5">
                    <a:lumMod val="60000"/>
                  </a:schemeClr>
                </a:solidFill>
                <a:round/>
              </a:ln>
              <a:effectLst/>
            </c:spPr>
          </c:bandFmt>
          <c:bandFmt>
            <c:idx val="11"/>
            <c:spPr>
              <a:ln w="9525" cap="rnd">
                <a:solidFill>
                  <a:schemeClr val="accent6">
                    <a:lumMod val="60000"/>
                  </a:schemeClr>
                </a:solidFill>
                <a:round/>
              </a:ln>
              <a:effectLst/>
            </c:spPr>
          </c:bandFmt>
          <c:bandFmt>
            <c:idx val="12"/>
            <c:spPr>
              <a:ln w="9525" cap="rnd">
                <a:solidFill>
                  <a:schemeClr val="accent1">
                    <a:lumMod val="80000"/>
                    <a:lumOff val="20000"/>
                  </a:schemeClr>
                </a:solidFill>
                <a:round/>
              </a:ln>
              <a:effectLst/>
            </c:spPr>
          </c:bandFmt>
          <c:bandFmt>
            <c:idx val="13"/>
            <c:spPr>
              <a:ln w="9525" cap="rnd">
                <a:solidFill>
                  <a:schemeClr val="accent2">
                    <a:lumMod val="80000"/>
                    <a:lumOff val="20000"/>
                  </a:schemeClr>
                </a:solidFill>
                <a:round/>
              </a:ln>
              <a:effectLst/>
            </c:spPr>
          </c:bandFmt>
          <c:bandFmt>
            <c:idx val="14"/>
            <c:spPr>
              <a:ln w="9525" cap="rnd">
                <a:solidFill>
                  <a:schemeClr val="accent3">
                    <a:lumMod val="80000"/>
                    <a:lumOff val="20000"/>
                  </a:schemeClr>
                </a:solidFill>
                <a:round/>
              </a:ln>
              <a:effectLst/>
            </c:spPr>
          </c:bandFmt>
        </c:bandFmts>
        <c:axId val="2050957904"/>
        <c:axId val="2050975664"/>
        <c:axId val="524005088"/>
      </c:surfaceChart>
      <c:catAx>
        <c:axId val="2050957904"/>
        <c:scaling>
          <c:orientation val="minMax"/>
        </c:scaling>
        <c:delete val="0"/>
        <c:axPos val="b"/>
        <c:numFmt formatCode="0.00"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0975664"/>
        <c:crosses val="autoZero"/>
        <c:auto val="1"/>
        <c:lblAlgn val="ctr"/>
        <c:lblOffset val="100"/>
        <c:noMultiLvlLbl val="0"/>
      </c:catAx>
      <c:valAx>
        <c:axId val="2050975664"/>
        <c:scaling>
          <c:orientation val="minMax"/>
        </c:scaling>
        <c:delete val="0"/>
        <c:axPos val="l"/>
        <c:majorGridlines>
          <c:spPr>
            <a:ln w="76200" cap="flat" cmpd="sng" algn="ctr">
              <a:solidFill>
                <a:schemeClr val="tx1">
                  <a:lumMod val="15000"/>
                  <a:lumOff val="85000"/>
                </a:schemeClr>
              </a:solidFill>
              <a:round/>
            </a:ln>
            <a:effectLst/>
          </c:spPr>
        </c:majorGridlines>
        <c:numFmt formatCode="0.000000"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0957904"/>
        <c:crosses val="autoZero"/>
        <c:crossBetween val="midCat"/>
      </c:valAx>
      <c:serAx>
        <c:axId val="524005088"/>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0975664"/>
        <c:crosses val="autoZero"/>
      </c:ser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0</xdr:col>
      <xdr:colOff>137160</xdr:colOff>
      <xdr:row>0</xdr:row>
      <xdr:rowOff>60960</xdr:rowOff>
    </xdr:from>
    <xdr:to>
      <xdr:col>16</xdr:col>
      <xdr:colOff>274320</xdr:colOff>
      <xdr:row>4</xdr:row>
      <xdr:rowOff>121920</xdr:rowOff>
    </xdr:to>
    <xdr:sp macro="" textlink="">
      <xdr:nvSpPr>
        <xdr:cNvPr id="2" name="TextBox 1">
          <a:extLst>
            <a:ext uri="{FF2B5EF4-FFF2-40B4-BE49-F238E27FC236}">
              <a16:creationId xmlns:a16="http://schemas.microsoft.com/office/drawing/2014/main" id="{2BAB516A-4405-B09E-0A50-54254E8CAB13}"/>
            </a:ext>
          </a:extLst>
        </xdr:cNvPr>
        <xdr:cNvSpPr txBox="1"/>
      </xdr:nvSpPr>
      <xdr:spPr>
        <a:xfrm>
          <a:off x="137160" y="60960"/>
          <a:ext cx="10965180" cy="7924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a:t>
          </a:r>
          <a:r>
            <a:rPr lang="en-US" sz="1100" baseline="0"/>
            <a:t> data is from BED_MESH_OUTPUT PGP=1. Data was fltered to remove time stamp then copied below original. All original was removed. , Find/replace was used to replace the ( and ) with |, then TextToCol was used with space, comma and  other "|" delimiters. The result was sorted smallest to largest by col A. From there couild get the  increment points for the mesh positions. The stuff at K10  and K16 are basically position templates to work with or display bed mesh data with a 10x10 matrix.</a:t>
          </a:r>
          <a:endParaRPr lang="en-US" sz="1100"/>
        </a:p>
      </xdr:txBody>
    </xdr:sp>
    <xdr:clientData/>
  </xdr:twoCellAnchor>
  <xdr:twoCellAnchor>
    <xdr:from>
      <xdr:col>18</xdr:col>
      <xdr:colOff>175260</xdr:colOff>
      <xdr:row>3</xdr:row>
      <xdr:rowOff>30480</xdr:rowOff>
    </xdr:from>
    <xdr:to>
      <xdr:col>23</xdr:col>
      <xdr:colOff>228600</xdr:colOff>
      <xdr:row>7</xdr:row>
      <xdr:rowOff>0</xdr:rowOff>
    </xdr:to>
    <xdr:sp macro="" textlink="">
      <xdr:nvSpPr>
        <xdr:cNvPr id="4" name="TextBox 3">
          <a:extLst>
            <a:ext uri="{FF2B5EF4-FFF2-40B4-BE49-F238E27FC236}">
              <a16:creationId xmlns:a16="http://schemas.microsoft.com/office/drawing/2014/main" id="{07CAAC93-F476-5180-0CB8-28F98FC16B40}"/>
            </a:ext>
          </a:extLst>
        </xdr:cNvPr>
        <xdr:cNvSpPr txBox="1"/>
      </xdr:nvSpPr>
      <xdr:spPr>
        <a:xfrm>
          <a:off x="13098780" y="579120"/>
          <a:ext cx="4503420" cy="7010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Something</a:t>
          </a:r>
          <a:r>
            <a:rPr lang="en-US" sz="1100" baseline="0"/>
            <a:t> screwy with nozzle Y and probe Y. To get probe at 2</a:t>
          </a:r>
        </a:p>
        <a:p>
          <a:r>
            <a:rPr lang="en-US" sz="1100" baseline="0"/>
            <a:t>220, 0, have to set x193, which is ok, but nozzle y is 7  not 12</a:t>
          </a:r>
        </a:p>
        <a:p>
          <a:r>
            <a:rPr lang="en-US" sz="1100" baseline="0"/>
            <a:t>For probe at X0 Y0 set G1 x0 y27. </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396240</xdr:colOff>
      <xdr:row>1</xdr:row>
      <xdr:rowOff>160020</xdr:rowOff>
    </xdr:from>
    <xdr:to>
      <xdr:col>10</xdr:col>
      <xdr:colOff>472440</xdr:colOff>
      <xdr:row>8</xdr:row>
      <xdr:rowOff>30480</xdr:rowOff>
    </xdr:to>
    <xdr:sp macro="" textlink="">
      <xdr:nvSpPr>
        <xdr:cNvPr id="2" name="TextBox 1">
          <a:extLst>
            <a:ext uri="{FF2B5EF4-FFF2-40B4-BE49-F238E27FC236}">
              <a16:creationId xmlns:a16="http://schemas.microsoft.com/office/drawing/2014/main" id="{2000ACD0-1DE2-E4A9-9B73-E06805F2418D}"/>
            </a:ext>
          </a:extLst>
        </xdr:cNvPr>
        <xdr:cNvSpPr txBox="1"/>
      </xdr:nvSpPr>
      <xdr:spPr>
        <a:xfrm>
          <a:off x="396240" y="342900"/>
          <a:ext cx="10203180" cy="11506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kern="1200"/>
            <a:t>This worksheet contains</a:t>
          </a:r>
          <a:r>
            <a:rPr lang="en-US" sz="1100" kern="1200" baseline="0"/>
            <a:t> the calculation for Z tilt changes. It is based on a 10 x 10 position bed mesh. The original data is the first heat map for comparison. At A43 the calculations for the bed mesh really start. The bed mesh data from printer.cfg is brought in at placed at A120. It will be a text stream. Do Data|Text to Columns, delimited with space, and comma is used to break into cells. The resulting matrix is copied to B27. All the cells are upated, with the z tilt data for various choices of cells to use to calculate the tilt starting at D106.</a:t>
          </a:r>
          <a:endParaRPr lang="en-US" sz="1100" kern="1200"/>
        </a:p>
        <a:p>
          <a:endParaRPr lang="en-US" sz="1100" kern="1200"/>
        </a:p>
      </xdr:txBody>
    </xdr:sp>
    <xdr:clientData/>
  </xdr:twoCellAnchor>
  <xdr:twoCellAnchor>
    <xdr:from>
      <xdr:col>14</xdr:col>
      <xdr:colOff>238276</xdr:colOff>
      <xdr:row>21</xdr:row>
      <xdr:rowOff>171752</xdr:rowOff>
    </xdr:from>
    <xdr:to>
      <xdr:col>24</xdr:col>
      <xdr:colOff>261257</xdr:colOff>
      <xdr:row>39</xdr:row>
      <xdr:rowOff>160867</xdr:rowOff>
    </xdr:to>
    <xdr:graphicFrame macro="">
      <xdr:nvGraphicFramePr>
        <xdr:cNvPr id="9" name="Chart 8">
          <a:extLst>
            <a:ext uri="{FF2B5EF4-FFF2-40B4-BE49-F238E27FC236}">
              <a16:creationId xmlns:a16="http://schemas.microsoft.com/office/drawing/2014/main" id="{5A8B8DD9-EFE7-F812-3D38-425DC1197E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672253</xdr:colOff>
      <xdr:row>44</xdr:row>
      <xdr:rowOff>22013</xdr:rowOff>
    </xdr:from>
    <xdr:to>
      <xdr:col>24</xdr:col>
      <xdr:colOff>333586</xdr:colOff>
      <xdr:row>64</xdr:row>
      <xdr:rowOff>161714</xdr:rowOff>
    </xdr:to>
    <xdr:graphicFrame macro="">
      <xdr:nvGraphicFramePr>
        <xdr:cNvPr id="35" name="Chart 34">
          <a:extLst>
            <a:ext uri="{FF2B5EF4-FFF2-40B4-BE49-F238E27FC236}">
              <a16:creationId xmlns:a16="http://schemas.microsoft.com/office/drawing/2014/main" id="{9E2939FE-2599-34ED-9662-1D19BD7A2D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313265</xdr:colOff>
      <xdr:row>68</xdr:row>
      <xdr:rowOff>43180</xdr:rowOff>
    </xdr:from>
    <xdr:to>
      <xdr:col>12</xdr:col>
      <xdr:colOff>617220</xdr:colOff>
      <xdr:row>78</xdr:row>
      <xdr:rowOff>76200</xdr:rowOff>
    </xdr:to>
    <xdr:sp macro="" textlink="">
      <xdr:nvSpPr>
        <xdr:cNvPr id="38" name="TextBox 37">
          <a:extLst>
            <a:ext uri="{FF2B5EF4-FFF2-40B4-BE49-F238E27FC236}">
              <a16:creationId xmlns:a16="http://schemas.microsoft.com/office/drawing/2014/main" id="{8EE096AF-B044-424C-8F0E-1DAAEF4FF4B0}"/>
            </a:ext>
          </a:extLst>
        </xdr:cNvPr>
        <xdr:cNvSpPr txBox="1"/>
      </xdr:nvSpPr>
      <xdr:spPr>
        <a:xfrm>
          <a:off x="6744545" y="12479020"/>
          <a:ext cx="5752255" cy="18618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kern="1200"/>
            <a:t>For calculating</a:t>
          </a:r>
          <a:r>
            <a:rPr lang="en-US" sz="1100" kern="1200" baseline="0"/>
            <a:t> the Z tilt, limits, the trigger distance between 0 and 169.5 is used. On the basis of the gantry screws this is 77 and 246.5. However, for the two point calc, the basis does not matter, only the difference. For comparison to other methods, the true slope must be used, which from  D394 is calculated as 0.000236.  However, the closes pt we take is at 162.7.  Thie difference for the current values is about 1% and will be ignored.</a:t>
          </a:r>
        </a:p>
        <a:p>
          <a:r>
            <a:rPr lang="en-US" sz="1100" kern="1200" baseline="0"/>
            <a:t>WAIT: ON Z-TRAMMING THE NOZZLE ENDS UP ABOUT 10 MM IN SO PROBE IS AT 37 MM, BUT TRAMMING CLAIMS 5. THE FAR RANGE  NOZZE IS AT ~177, AND THEREFORE THE PROBE IS AT ~205. Note that at  5 mm the extruder is pretty close to the left gantry, so is a good point. So 5 and 1695 are about as good as it is going to get.  </a:t>
          </a:r>
          <a:endParaRPr lang="en-US" sz="1100" kern="1200"/>
        </a:p>
      </xdr:txBody>
    </xdr:sp>
    <xdr:clientData/>
  </xdr:twoCellAnchor>
  <xdr:twoCellAnchor>
    <xdr:from>
      <xdr:col>17</xdr:col>
      <xdr:colOff>321732</xdr:colOff>
      <xdr:row>92</xdr:row>
      <xdr:rowOff>42332</xdr:rowOff>
    </xdr:from>
    <xdr:to>
      <xdr:col>26</xdr:col>
      <xdr:colOff>571500</xdr:colOff>
      <xdr:row>101</xdr:row>
      <xdr:rowOff>129540</xdr:rowOff>
    </xdr:to>
    <xdr:sp macro="" textlink="">
      <xdr:nvSpPr>
        <xdr:cNvPr id="7" name="TextBox 6">
          <a:extLst>
            <a:ext uri="{FF2B5EF4-FFF2-40B4-BE49-F238E27FC236}">
              <a16:creationId xmlns:a16="http://schemas.microsoft.com/office/drawing/2014/main" id="{FF4253F6-751B-6313-5F97-E10F46930FF3}"/>
            </a:ext>
          </a:extLst>
        </xdr:cNvPr>
        <xdr:cNvSpPr txBox="1"/>
      </xdr:nvSpPr>
      <xdr:spPr>
        <a:xfrm>
          <a:off x="17200032" y="21256412"/>
          <a:ext cx="5736168" cy="173312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A smaller probe height on, say, the right side comparted to the left side, means the bed is too high on right side. The difference between the right and left points will therefore be positive, and indicates the need to increase the distance between probe and bed to match the height on the left side. </a:t>
          </a: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This means lowering the bed on the right side. Adjusting the gantry screws, raises or lower the extruder gantry, not the bed. The height distance is therefore increased by turning the screw CW to raise the gantry away from the bed. If the difference between left and right sides is negative, the bed screw must be turned CCW to lower the gantry to decrease the gap (height) between probe and bed.</a:t>
          </a:r>
        </a:p>
        <a:p>
          <a:endParaRPr lang="en-US" sz="1100"/>
        </a:p>
      </xdr:txBody>
    </xdr:sp>
    <xdr:clientData/>
  </xdr:twoCellAnchor>
  <xdr:oneCellAnchor>
    <xdr:from>
      <xdr:col>21</xdr:col>
      <xdr:colOff>296333</xdr:colOff>
      <xdr:row>100</xdr:row>
      <xdr:rowOff>25400</xdr:rowOff>
    </xdr:from>
    <xdr:ext cx="184731" cy="264560"/>
    <xdr:sp macro="" textlink="">
      <xdr:nvSpPr>
        <xdr:cNvPr id="8" name="TextBox 7">
          <a:extLst>
            <a:ext uri="{FF2B5EF4-FFF2-40B4-BE49-F238E27FC236}">
              <a16:creationId xmlns:a16="http://schemas.microsoft.com/office/drawing/2014/main" id="{B4965F17-F0D2-62EF-7CD2-D633A4932674}"/>
            </a:ext>
          </a:extLst>
        </xdr:cNvPr>
        <xdr:cNvSpPr txBox="1"/>
      </xdr:nvSpPr>
      <xdr:spPr>
        <a:xfrm>
          <a:off x="19473333" y="6376246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9</xdr:col>
      <xdr:colOff>1066801</xdr:colOff>
      <xdr:row>109</xdr:row>
      <xdr:rowOff>135466</xdr:rowOff>
    </xdr:from>
    <xdr:to>
      <xdr:col>15</xdr:col>
      <xdr:colOff>762001</xdr:colOff>
      <xdr:row>117</xdr:row>
      <xdr:rowOff>53340</xdr:rowOff>
    </xdr:to>
    <xdr:sp macro="" textlink="">
      <xdr:nvSpPr>
        <xdr:cNvPr id="22" name="TextBox 21">
          <a:extLst>
            <a:ext uri="{FF2B5EF4-FFF2-40B4-BE49-F238E27FC236}">
              <a16:creationId xmlns:a16="http://schemas.microsoft.com/office/drawing/2014/main" id="{044D8937-3C02-B12D-031E-95E171BCAD26}"/>
            </a:ext>
          </a:extLst>
        </xdr:cNvPr>
        <xdr:cNvSpPr txBox="1"/>
      </xdr:nvSpPr>
      <xdr:spPr>
        <a:xfrm>
          <a:off x="9913621" y="20252266"/>
          <a:ext cx="6179820" cy="13809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If</a:t>
          </a:r>
          <a:r>
            <a:rPr lang="en-US" sz="1100" b="1" baseline="0">
              <a:solidFill>
                <a:schemeClr val="dk1"/>
              </a:solidFill>
              <a:effectLst/>
              <a:latin typeface="+mn-lt"/>
              <a:ea typeface="+mn-ea"/>
              <a:cs typeface="+mn-cs"/>
            </a:rPr>
            <a:t> variation is greater than 1.2 min, needs correction. A NEGATIVE SLOPE MEANS THE BED RELATIVE TO THE GANTRY BAR HAS A GRATER GAP THAN THE RIGHT SIDE. TURNING THE RIGHT Z SCREW SCREW CCW LOWERS THE GANTRY BAR, ON THAT SIDE WHICH LOOKS LIKE THE RIGHT SIDE OF THE BED HAS BEEN RAISED.  THIS HAS THE ACTION OF CAUSING NOZZLE TO SMOOSH EXTRUDED LINES FILLING IN THE SPACE BETWEEN LINES. RAISING THE GANTRY  BAR (CW SCREW ROTATION) LOWERS BED ON THAT SIDE; CAUSES NOZZLE TO REDUC BLOBBING AND IF OVERDONE CAUSES LOSS IN INFILLING BETWEEN EXTRUDED LINES.</a:t>
          </a:r>
          <a:endParaRPr lang="en-US">
            <a:effectLst/>
          </a:endParaRPr>
        </a:p>
        <a:p>
          <a:endParaRPr lang="en-US" sz="1100" b="1" baseline="0"/>
        </a:p>
      </xdr:txBody>
    </xdr:sp>
    <xdr:clientData/>
  </xdr:twoCellAnchor>
  <xdr:twoCellAnchor>
    <xdr:from>
      <xdr:col>24</xdr:col>
      <xdr:colOff>601980</xdr:colOff>
      <xdr:row>24</xdr:row>
      <xdr:rowOff>95250</xdr:rowOff>
    </xdr:from>
    <xdr:to>
      <xdr:col>31</xdr:col>
      <xdr:colOff>0</xdr:colOff>
      <xdr:row>43</xdr:row>
      <xdr:rowOff>0</xdr:rowOff>
    </xdr:to>
    <xdr:graphicFrame macro="">
      <xdr:nvGraphicFramePr>
        <xdr:cNvPr id="12" name="Chart 11">
          <a:extLst>
            <a:ext uri="{FF2B5EF4-FFF2-40B4-BE49-F238E27FC236}">
              <a16:creationId xmlns:a16="http://schemas.microsoft.com/office/drawing/2014/main" id="{D543E0FC-2B29-F0C4-FA7A-ACBECE0ACD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243841</xdr:colOff>
      <xdr:row>45</xdr:row>
      <xdr:rowOff>15240</xdr:rowOff>
    </xdr:from>
    <xdr:to>
      <xdr:col>34</xdr:col>
      <xdr:colOff>358141</xdr:colOff>
      <xdr:row>65</xdr:row>
      <xdr:rowOff>154941</xdr:rowOff>
    </xdr:to>
    <xdr:graphicFrame macro="">
      <xdr:nvGraphicFramePr>
        <xdr:cNvPr id="10" name="Chart 9">
          <a:extLst>
            <a:ext uri="{FF2B5EF4-FFF2-40B4-BE49-F238E27FC236}">
              <a16:creationId xmlns:a16="http://schemas.microsoft.com/office/drawing/2014/main" id="{EF3F8D06-413D-4132-932E-76E5573E87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396240</xdr:colOff>
      <xdr:row>1</xdr:row>
      <xdr:rowOff>160020</xdr:rowOff>
    </xdr:from>
    <xdr:to>
      <xdr:col>11</xdr:col>
      <xdr:colOff>281940</xdr:colOff>
      <xdr:row>13</xdr:row>
      <xdr:rowOff>15240</xdr:rowOff>
    </xdr:to>
    <xdr:sp macro="" textlink="">
      <xdr:nvSpPr>
        <xdr:cNvPr id="2" name="TextBox 1">
          <a:extLst>
            <a:ext uri="{FF2B5EF4-FFF2-40B4-BE49-F238E27FC236}">
              <a16:creationId xmlns:a16="http://schemas.microsoft.com/office/drawing/2014/main" id="{99464DC3-4383-411A-A55C-CF8C1789BAD3}"/>
            </a:ext>
          </a:extLst>
        </xdr:cNvPr>
        <xdr:cNvSpPr txBox="1"/>
      </xdr:nvSpPr>
      <xdr:spPr>
        <a:xfrm>
          <a:off x="396240" y="342900"/>
          <a:ext cx="10828020" cy="20497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kern="1200"/>
            <a:t>This sheet is a combination of the z tilt</a:t>
          </a:r>
          <a:r>
            <a:rPr lang="en-US" sz="1100" kern="1200" baseline="0"/>
            <a:t> calculation found on [z_tramming_Calc] and </a:t>
          </a:r>
          <a:r>
            <a:rPr lang="en-US" sz="1100" kern="1200"/>
            <a:t>the</a:t>
          </a:r>
          <a:r>
            <a:rPr lang="en-US" sz="1100" kern="1200" baseline="0"/>
            <a:t> the final mesh  data for the MANUAL alternation of the original bed mesh. using a manually manipulated correction matrix. Any z tilt changes </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The final mesh at A121, is the sum of the original mesh at A45 and a correction matrix starting at B108.  Small intuitive corrections are made to the correction matrix, which simultaneously updates  the string text block at A134. </a:t>
          </a: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To the right of the text block is a manually copied version, that must be pasted as Paste Special...Values. It is the string block on the right, range H134:H143,  that is substituted for whatever matrix version is in printer.cfg in the SAVED_CONFIG section. </a:t>
          </a:r>
          <a:endParaRPr lang="en-US">
            <a:effectLst/>
          </a:endParaRPr>
        </a:p>
        <a:p>
          <a:endParaRPr lang="en-US" sz="1100" kern="1200" baseline="0"/>
        </a:p>
        <a:p>
          <a:r>
            <a:rPr lang="en-US" sz="1100" kern="1200" baseline="0"/>
            <a:t>There is no quick and easy way to change this 10x10 matrix solution to a larger or smaller bed mesh. Much careful manipulation of the cell formulas would be necessary. In addtion, error messages will come up, becuasue the charts will no longe reflect the correct data ranges.</a:t>
          </a:r>
        </a:p>
      </xdr:txBody>
    </xdr:sp>
    <xdr:clientData/>
  </xdr:twoCellAnchor>
  <xdr:twoCellAnchor>
    <xdr:from>
      <xdr:col>19</xdr:col>
      <xdr:colOff>32172</xdr:colOff>
      <xdr:row>65</xdr:row>
      <xdr:rowOff>149013</xdr:rowOff>
    </xdr:from>
    <xdr:to>
      <xdr:col>26</xdr:col>
      <xdr:colOff>142239</xdr:colOff>
      <xdr:row>72</xdr:row>
      <xdr:rowOff>59267</xdr:rowOff>
    </xdr:to>
    <xdr:sp macro="" textlink="">
      <xdr:nvSpPr>
        <xdr:cNvPr id="4" name="TextBox 3">
          <a:extLst>
            <a:ext uri="{FF2B5EF4-FFF2-40B4-BE49-F238E27FC236}">
              <a16:creationId xmlns:a16="http://schemas.microsoft.com/office/drawing/2014/main" id="{FC7005E6-44B3-47E2-8881-59721EA04A83}"/>
            </a:ext>
          </a:extLst>
        </xdr:cNvPr>
        <xdr:cNvSpPr txBox="1"/>
      </xdr:nvSpPr>
      <xdr:spPr>
        <a:xfrm>
          <a:off x="18129672" y="12219093"/>
          <a:ext cx="4377267" cy="11904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 lower probe value means a higher bed point. The difference between the right and left points will therefore be negative, and indicate the bed screw must be turned CCW to lower the right side of the bed.   So negative turn CCW; positive turn CW.</a:t>
          </a:r>
          <a:endParaRPr lang="en-US" sz="1100"/>
        </a:p>
      </xdr:txBody>
    </xdr:sp>
    <xdr:clientData/>
  </xdr:twoCellAnchor>
  <xdr:oneCellAnchor>
    <xdr:from>
      <xdr:col>21</xdr:col>
      <xdr:colOff>296333</xdr:colOff>
      <xdr:row>74</xdr:row>
      <xdr:rowOff>25400</xdr:rowOff>
    </xdr:from>
    <xdr:ext cx="184731" cy="264560"/>
    <xdr:sp macro="" textlink="">
      <xdr:nvSpPr>
        <xdr:cNvPr id="5" name="TextBox 4">
          <a:extLst>
            <a:ext uri="{FF2B5EF4-FFF2-40B4-BE49-F238E27FC236}">
              <a16:creationId xmlns:a16="http://schemas.microsoft.com/office/drawing/2014/main" id="{31B50116-F261-462D-8F49-C869B6E0E738}"/>
            </a:ext>
          </a:extLst>
        </xdr:cNvPr>
        <xdr:cNvSpPr txBox="1"/>
      </xdr:nvSpPr>
      <xdr:spPr>
        <a:xfrm>
          <a:off x="19613033" y="137414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9</xdr:col>
      <xdr:colOff>1066800</xdr:colOff>
      <xdr:row>83</xdr:row>
      <xdr:rowOff>135466</xdr:rowOff>
    </xdr:from>
    <xdr:to>
      <xdr:col>17</xdr:col>
      <xdr:colOff>397933</xdr:colOff>
      <xdr:row>90</xdr:row>
      <xdr:rowOff>25399</xdr:rowOff>
    </xdr:to>
    <xdr:sp macro="" textlink="">
      <xdr:nvSpPr>
        <xdr:cNvPr id="6" name="TextBox 5">
          <a:extLst>
            <a:ext uri="{FF2B5EF4-FFF2-40B4-BE49-F238E27FC236}">
              <a16:creationId xmlns:a16="http://schemas.microsoft.com/office/drawing/2014/main" id="{16620527-E80D-482A-9D52-784AC5E0E9A9}"/>
            </a:ext>
          </a:extLst>
        </xdr:cNvPr>
        <xdr:cNvSpPr txBox="1"/>
      </xdr:nvSpPr>
      <xdr:spPr>
        <a:xfrm>
          <a:off x="9913620" y="15497386"/>
          <a:ext cx="7362613" cy="11700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If</a:t>
          </a:r>
          <a:r>
            <a:rPr lang="en-US" sz="1100" b="1" baseline="0"/>
            <a:t> variation is greater than 1.2 min needs correction</a:t>
          </a:r>
        </a:p>
        <a:p>
          <a:r>
            <a:rPr lang="en-US" sz="1100" b="1"/>
            <a:t>RAISING</a:t>
          </a:r>
          <a:r>
            <a:rPr lang="en-US" sz="1100" b="1" baseline="0"/>
            <a:t> BAR SIDE (CW ROTATION)  LOWERS BED ON THAT SIDE; CAUSES NOZZLE TO LEAVE OPEN LINES.</a:t>
          </a:r>
        </a:p>
        <a:p>
          <a:r>
            <a:rPr lang="en-US" sz="1100" b="1" baseline="0"/>
            <a:t>LOWER BAR (CCW ROTATION) RAISES BED ON THAT SIDE; CAUSES NOZZLE TO FILL LINES OR BLOB</a:t>
          </a:r>
        </a:p>
        <a:p>
          <a:r>
            <a:rPr lang="en-US" sz="1100" b="0" baseline="0"/>
            <a:t>Logic? Establish a bed mesh that works for most of squares. If right set prints open lines lower rail. May need to compensate by raising rail on left . </a:t>
          </a:r>
          <a:endParaRPr lang="en-US" sz="1100" b="0"/>
        </a:p>
      </xdr:txBody>
    </xdr:sp>
    <xdr:clientData/>
  </xdr:twoCellAnchor>
  <xdr:twoCellAnchor>
    <xdr:from>
      <xdr:col>14</xdr:col>
      <xdr:colOff>403860</xdr:colOff>
      <xdr:row>40</xdr:row>
      <xdr:rowOff>163830</xdr:rowOff>
    </xdr:from>
    <xdr:to>
      <xdr:col>19</xdr:col>
      <xdr:colOff>579120</xdr:colOff>
      <xdr:row>55</xdr:row>
      <xdr:rowOff>163830</xdr:rowOff>
    </xdr:to>
    <xdr:graphicFrame macro="">
      <xdr:nvGraphicFramePr>
        <xdr:cNvPr id="7" name="Chart 6">
          <a:extLst>
            <a:ext uri="{FF2B5EF4-FFF2-40B4-BE49-F238E27FC236}">
              <a16:creationId xmlns:a16="http://schemas.microsoft.com/office/drawing/2014/main" id="{5DE55BFC-4D5F-464B-2818-9930E4C482D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381000</xdr:colOff>
      <xdr:row>112</xdr:row>
      <xdr:rowOff>171450</xdr:rowOff>
    </xdr:from>
    <xdr:to>
      <xdr:col>18</xdr:col>
      <xdr:colOff>152400</xdr:colOff>
      <xdr:row>128</xdr:row>
      <xdr:rowOff>171450</xdr:rowOff>
    </xdr:to>
    <xdr:graphicFrame macro="">
      <xdr:nvGraphicFramePr>
        <xdr:cNvPr id="3" name="Chart 2">
          <a:extLst>
            <a:ext uri="{FF2B5EF4-FFF2-40B4-BE49-F238E27FC236}">
              <a16:creationId xmlns:a16="http://schemas.microsoft.com/office/drawing/2014/main" id="{7BAAF293-E6D7-98E2-9AF2-1BEEA6C57ED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586740</xdr:colOff>
      <xdr:row>112</xdr:row>
      <xdr:rowOff>95250</xdr:rowOff>
    </xdr:from>
    <xdr:to>
      <xdr:col>24</xdr:col>
      <xdr:colOff>68580</xdr:colOff>
      <xdr:row>130</xdr:row>
      <xdr:rowOff>15240</xdr:rowOff>
    </xdr:to>
    <xdr:graphicFrame macro="">
      <xdr:nvGraphicFramePr>
        <xdr:cNvPr id="12" name="Chart 11">
          <a:extLst>
            <a:ext uri="{FF2B5EF4-FFF2-40B4-BE49-F238E27FC236}">
              <a16:creationId xmlns:a16="http://schemas.microsoft.com/office/drawing/2014/main" id="{D09D9176-53FD-860B-AD28-E74B69A6D9B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137160</xdr:colOff>
      <xdr:row>0</xdr:row>
      <xdr:rowOff>60960</xdr:rowOff>
    </xdr:from>
    <xdr:to>
      <xdr:col>12</xdr:col>
      <xdr:colOff>1348740</xdr:colOff>
      <xdr:row>9</xdr:row>
      <xdr:rowOff>38100</xdr:rowOff>
    </xdr:to>
    <xdr:sp macro="" textlink="">
      <xdr:nvSpPr>
        <xdr:cNvPr id="3" name="TextBox 2">
          <a:extLst>
            <a:ext uri="{FF2B5EF4-FFF2-40B4-BE49-F238E27FC236}">
              <a16:creationId xmlns:a16="http://schemas.microsoft.com/office/drawing/2014/main" id="{45BB076A-FD7B-42F8-A7D9-54B80845D858}"/>
            </a:ext>
          </a:extLst>
        </xdr:cNvPr>
        <xdr:cNvSpPr txBox="1"/>
      </xdr:nvSpPr>
      <xdr:spPr>
        <a:xfrm>
          <a:off x="137160" y="60960"/>
          <a:ext cx="13700760" cy="1623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Attempt</a:t>
          </a:r>
          <a:r>
            <a:rPr lang="en-US" sz="1100" baseline="0"/>
            <a:t> to reconcile manual with manually adjusted bed mesh and original bed mesh based on manually using PROBE cmd to set point for probe, doing PROBE cmd, use G1 to set nozzle at same position as the where the probe was, and do manually do the paper height test.</a:t>
          </a:r>
        </a:p>
        <a:p>
          <a:r>
            <a:rPr lang="en-US" sz="1100" baseline="0"/>
            <a:t>There are many "bits and pieces" of experiments here, which may be difficult to interpret. I kept it to show how some of the manual stuff was done, or factors such as temperature checked.</a:t>
          </a:r>
        </a:p>
        <a:p>
          <a:r>
            <a:rPr lang="en-US" sz="1100" baseline="0"/>
            <a:t>bed mesh value is supposedly difference between the z offset and the value the probe finds at a points.</a:t>
          </a:r>
        </a:p>
        <a:p>
          <a:r>
            <a:rPr lang="en-US" sz="1100" baseline="0"/>
            <a:t>There is no way to reconcile the points, I made some mistakes on the positions, but the last 3 are good correlatiions between the whre nozzle is and probe was to get comparable numbers.</a:t>
          </a:r>
        </a:p>
        <a:p>
          <a:r>
            <a:rPr lang="en-US" sz="1100" baseline="0"/>
            <a:t>The bed mesh values should be the diffrence betwee the probe value and the z offset value. In some cases the correlation is okay, but not in others.</a:t>
          </a:r>
        </a:p>
        <a:p>
          <a:endParaRPr lang="en-US" sz="1100" baseline="0"/>
        </a:p>
        <a:p>
          <a:endParaRPr lang="en-US" sz="1100" baseline="0"/>
        </a:p>
      </xdr:txBody>
    </xdr:sp>
    <xdr:clientData/>
  </xdr:twoCellAnchor>
  <xdr:twoCellAnchor>
    <xdr:from>
      <xdr:col>7</xdr:col>
      <xdr:colOff>106680</xdr:colOff>
      <xdr:row>18</xdr:row>
      <xdr:rowOff>53340</xdr:rowOff>
    </xdr:from>
    <xdr:to>
      <xdr:col>13</xdr:col>
      <xdr:colOff>891540</xdr:colOff>
      <xdr:row>22</xdr:row>
      <xdr:rowOff>167640</xdr:rowOff>
    </xdr:to>
    <xdr:sp macro="" textlink="">
      <xdr:nvSpPr>
        <xdr:cNvPr id="5" name="TextBox 4">
          <a:extLst>
            <a:ext uri="{FF2B5EF4-FFF2-40B4-BE49-F238E27FC236}">
              <a16:creationId xmlns:a16="http://schemas.microsoft.com/office/drawing/2014/main" id="{215E4174-6D25-4274-8F97-8DDB1A3A0B7B}"/>
            </a:ext>
          </a:extLst>
        </xdr:cNvPr>
        <xdr:cNvSpPr txBox="1"/>
      </xdr:nvSpPr>
      <xdr:spPr>
        <a:xfrm>
          <a:off x="4922520" y="1882140"/>
          <a:ext cx="6423660" cy="8458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Something</a:t>
          </a:r>
          <a:r>
            <a:rPr lang="en-US" sz="1100" baseline="0"/>
            <a:t> screwy with nozzle Y and probe Y. To get probe at 2</a:t>
          </a:r>
        </a:p>
        <a:p>
          <a:r>
            <a:rPr lang="en-US" sz="1100" baseline="0"/>
            <a:t>220, 0, have to set x193, which is ok, but nozzle y is 7  not 12</a:t>
          </a:r>
        </a:p>
        <a:p>
          <a:r>
            <a:rPr lang="en-US" sz="1100" baseline="0"/>
            <a:t>For probe at X0 Y0 set G1 x0 y27.  Even the z differences are not correlating well.</a:t>
          </a:r>
          <a:endParaRPr lang="en-US" sz="1100"/>
        </a:p>
      </xdr:txBody>
    </xdr:sp>
    <xdr:clientData/>
  </xdr:twoCellAnchor>
  <xdr:twoCellAnchor>
    <xdr:from>
      <xdr:col>11</xdr:col>
      <xdr:colOff>655320</xdr:colOff>
      <xdr:row>47</xdr:row>
      <xdr:rowOff>0</xdr:rowOff>
    </xdr:from>
    <xdr:to>
      <xdr:col>14</xdr:col>
      <xdr:colOff>1066800</xdr:colOff>
      <xdr:row>51</xdr:row>
      <xdr:rowOff>22860</xdr:rowOff>
    </xdr:to>
    <xdr:sp macro="" textlink="">
      <xdr:nvSpPr>
        <xdr:cNvPr id="2" name="TextBox 1">
          <a:extLst>
            <a:ext uri="{FF2B5EF4-FFF2-40B4-BE49-F238E27FC236}">
              <a16:creationId xmlns:a16="http://schemas.microsoft.com/office/drawing/2014/main" id="{7ED44B9F-52AC-D978-D896-54A45591A334}"/>
            </a:ext>
          </a:extLst>
        </xdr:cNvPr>
        <xdr:cNvSpPr txBox="1"/>
      </xdr:nvSpPr>
      <xdr:spPr>
        <a:xfrm>
          <a:off x="8930640" y="7132320"/>
          <a:ext cx="3855720" cy="7543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twoCellAnchor>
    <xdr:from>
      <xdr:col>5</xdr:col>
      <xdr:colOff>312420</xdr:colOff>
      <xdr:row>69</xdr:row>
      <xdr:rowOff>137160</xdr:rowOff>
    </xdr:from>
    <xdr:to>
      <xdr:col>10</xdr:col>
      <xdr:colOff>495300</xdr:colOff>
      <xdr:row>77</xdr:row>
      <xdr:rowOff>22860</xdr:rowOff>
    </xdr:to>
    <xdr:sp macro="" textlink="">
      <xdr:nvSpPr>
        <xdr:cNvPr id="4" name="TextBox 3">
          <a:extLst>
            <a:ext uri="{FF2B5EF4-FFF2-40B4-BE49-F238E27FC236}">
              <a16:creationId xmlns:a16="http://schemas.microsoft.com/office/drawing/2014/main" id="{2051229B-C19E-397E-5590-295137C6E642}"/>
            </a:ext>
          </a:extLst>
        </xdr:cNvPr>
        <xdr:cNvSpPr txBox="1"/>
      </xdr:nvSpPr>
      <xdr:spPr>
        <a:xfrm>
          <a:off x="4892040" y="10561320"/>
          <a:ext cx="4343400" cy="13487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Except</a:t>
          </a:r>
          <a:r>
            <a:rPr lang="en-US" sz="1100" baseline="0"/>
            <a:t> for the Home positon, bed temperature definitely causes a large,  average -0.13 mm</a:t>
          </a:r>
          <a:r>
            <a:rPr lang="en-US"/>
            <a:t> </a:t>
          </a:r>
          <a:r>
            <a:rPr lang="en-US" sz="1100" baseline="0"/>
            <a:t> decrease in the probe to bed distance at the corners, suggesting the bed warps upward at all the corners. The center bed also rises, but by only ~0.015 mm, which is small by comparison.</a:t>
          </a:r>
        </a:p>
        <a:p>
          <a:endParaRPr lang="en-US" sz="1100" baseline="0"/>
        </a:p>
        <a:p>
          <a:r>
            <a:rPr lang="en-US" sz="1100" baseline="0"/>
            <a:t>There is little statistically clear difference between E120B60 and E195B60</a:t>
          </a:r>
        </a:p>
        <a:p>
          <a:endParaRPr lang="en-US" sz="1100"/>
        </a:p>
      </xdr:txBody>
    </xdr:sp>
    <xdr:clientData/>
  </xdr:twoCellAnchor>
  <xdr:twoCellAnchor>
    <xdr:from>
      <xdr:col>14</xdr:col>
      <xdr:colOff>198120</xdr:colOff>
      <xdr:row>61</xdr:row>
      <xdr:rowOff>15240</xdr:rowOff>
    </xdr:from>
    <xdr:to>
      <xdr:col>17</xdr:col>
      <xdr:colOff>426720</xdr:colOff>
      <xdr:row>65</xdr:row>
      <xdr:rowOff>7620</xdr:rowOff>
    </xdr:to>
    <xdr:sp macro="" textlink="">
      <xdr:nvSpPr>
        <xdr:cNvPr id="6" name="TextBox 5">
          <a:extLst>
            <a:ext uri="{FF2B5EF4-FFF2-40B4-BE49-F238E27FC236}">
              <a16:creationId xmlns:a16="http://schemas.microsoft.com/office/drawing/2014/main" id="{70992825-AFD0-8071-D011-8FE2AF805987}"/>
            </a:ext>
          </a:extLst>
        </xdr:cNvPr>
        <xdr:cNvSpPr txBox="1"/>
      </xdr:nvSpPr>
      <xdr:spPr>
        <a:xfrm>
          <a:off x="15323820" y="11170920"/>
          <a:ext cx="3436620" cy="723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PROBE_CALIBRATE PUTS NOZZLE AT G1 POSTION, TO MEAS. PROBE,  BUT THEN SHIFTS TO WHERE PROBE WAS TO MEASURE Z OFFSET</a:t>
          </a:r>
          <a:r>
            <a:rPr lang="en-US"/>
            <a:t> </a:t>
          </a:r>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DFBE1-EDD6-448B-B092-758CD591779E}">
  <dimension ref="A10:Z114"/>
  <sheetViews>
    <sheetView zoomScaleNormal="100" workbookViewId="0">
      <selection activeCell="K36" sqref="K36"/>
    </sheetView>
  </sheetViews>
  <sheetFormatPr defaultRowHeight="14.4" x14ac:dyDescent="0.3"/>
  <cols>
    <col min="1" max="1" width="10.109375" bestFit="1" customWidth="1"/>
    <col min="11" max="11" width="14.33203125" customWidth="1"/>
    <col min="12" max="12" width="11.77734375" customWidth="1"/>
    <col min="13" max="13" width="10.21875" customWidth="1"/>
    <col min="14" max="14" width="10.5546875" customWidth="1"/>
    <col min="15" max="15" width="10.6640625" customWidth="1"/>
    <col min="16" max="16" width="17.6640625" customWidth="1"/>
    <col min="17" max="17" width="12.77734375" customWidth="1"/>
    <col min="18" max="18" width="10.33203125" customWidth="1"/>
    <col min="19" max="19" width="12.21875" customWidth="1"/>
    <col min="20" max="20" width="13.109375" customWidth="1"/>
    <col min="21" max="21" width="14.44140625" customWidth="1"/>
    <col min="22" max="22" width="14.21875" customWidth="1"/>
    <col min="23" max="23" width="10.88671875" customWidth="1"/>
    <col min="24" max="24" width="10.6640625" customWidth="1"/>
    <col min="25" max="25" width="11.77734375" customWidth="1"/>
    <col min="26" max="26" width="11" customWidth="1"/>
  </cols>
  <sheetData>
    <row r="10" spans="1:26" x14ac:dyDescent="0.3">
      <c r="B10" t="s">
        <v>97</v>
      </c>
      <c r="C10" t="s">
        <v>98</v>
      </c>
      <c r="D10" t="s">
        <v>99</v>
      </c>
      <c r="E10" t="s">
        <v>100</v>
      </c>
      <c r="F10" t="s">
        <v>143</v>
      </c>
      <c r="J10" s="4" t="s">
        <v>103</v>
      </c>
      <c r="K10" s="4"/>
      <c r="L10" s="6">
        <v>0</v>
      </c>
      <c r="M10" s="6">
        <f>L10+$H$11</f>
        <v>20.332999999999998</v>
      </c>
      <c r="N10" s="6">
        <f t="shared" ref="N10:U10" si="0">M10+$H$11</f>
        <v>40.665999999999997</v>
      </c>
      <c r="O10" s="6">
        <f t="shared" si="0"/>
        <v>60.998999999999995</v>
      </c>
      <c r="P10" s="6">
        <f t="shared" si="0"/>
        <v>81.331999999999994</v>
      </c>
      <c r="Q10" s="6">
        <f t="shared" si="0"/>
        <v>101.66499999999999</v>
      </c>
      <c r="R10" s="6">
        <f t="shared" si="0"/>
        <v>121.99799999999999</v>
      </c>
      <c r="S10" s="6">
        <f t="shared" si="0"/>
        <v>142.33099999999999</v>
      </c>
      <c r="T10" s="6">
        <f t="shared" si="0"/>
        <v>162.66399999999999</v>
      </c>
      <c r="U10" s="6">
        <f t="shared" si="0"/>
        <v>182.99699999999999</v>
      </c>
      <c r="V10" t="s">
        <v>141</v>
      </c>
    </row>
    <row r="11" spans="1:26" x14ac:dyDescent="0.3">
      <c r="A11" s="14">
        <v>0</v>
      </c>
      <c r="B11">
        <v>0</v>
      </c>
      <c r="C11">
        <v>32</v>
      </c>
      <c r="D11">
        <v>27</v>
      </c>
      <c r="E11">
        <v>12</v>
      </c>
      <c r="F11">
        <v>27</v>
      </c>
      <c r="G11" t="s">
        <v>95</v>
      </c>
      <c r="H11">
        <v>20.332999999999998</v>
      </c>
      <c r="I11" t="s">
        <v>101</v>
      </c>
      <c r="J11" s="4" t="s">
        <v>102</v>
      </c>
      <c r="K11" s="4" t="s">
        <v>218</v>
      </c>
      <c r="L11" s="5">
        <v>27</v>
      </c>
      <c r="M11" s="5">
        <f t="shared" ref="M11:U11" si="1">L11+$H$11</f>
        <v>47.332999999999998</v>
      </c>
      <c r="N11" s="5">
        <f t="shared" si="1"/>
        <v>67.665999999999997</v>
      </c>
      <c r="O11" s="5">
        <f t="shared" si="1"/>
        <v>87.998999999999995</v>
      </c>
      <c r="P11" s="5">
        <f t="shared" si="1"/>
        <v>108.33199999999999</v>
      </c>
      <c r="Q11" s="5">
        <f t="shared" si="1"/>
        <v>128.66499999999999</v>
      </c>
      <c r="R11" s="5">
        <f t="shared" si="1"/>
        <v>148.99799999999999</v>
      </c>
      <c r="S11" s="5">
        <f t="shared" si="1"/>
        <v>169.33099999999999</v>
      </c>
      <c r="T11" s="5">
        <f t="shared" si="1"/>
        <v>189.66399999999999</v>
      </c>
      <c r="U11" s="5">
        <f t="shared" si="1"/>
        <v>209.99699999999999</v>
      </c>
      <c r="V11" s="5" t="s">
        <v>142</v>
      </c>
    </row>
    <row r="12" spans="1:26" x14ac:dyDescent="0.3">
      <c r="A12" s="14">
        <v>1</v>
      </c>
      <c r="B12">
        <v>20.3</v>
      </c>
      <c r="C12">
        <v>32</v>
      </c>
      <c r="D12">
        <v>47.3</v>
      </c>
      <c r="E12">
        <v>12</v>
      </c>
      <c r="F12">
        <v>27</v>
      </c>
      <c r="G12" t="s">
        <v>96</v>
      </c>
      <c r="H12">
        <v>21.443999999999999</v>
      </c>
      <c r="J12" s="6">
        <f>32</f>
        <v>32</v>
      </c>
      <c r="K12" s="5">
        <f>E11</f>
        <v>12</v>
      </c>
      <c r="X12" t="s">
        <v>224</v>
      </c>
    </row>
    <row r="13" spans="1:26" x14ac:dyDescent="0.3">
      <c r="A13" s="14">
        <v>2</v>
      </c>
      <c r="B13">
        <v>40.700000000000003</v>
      </c>
      <c r="C13">
        <v>32</v>
      </c>
      <c r="D13">
        <v>67.7</v>
      </c>
      <c r="E13">
        <v>12</v>
      </c>
      <c r="F13">
        <v>27</v>
      </c>
      <c r="H13">
        <v>5</v>
      </c>
      <c r="J13" s="6">
        <f>J12+$H$12</f>
        <v>53.444000000000003</v>
      </c>
      <c r="K13" s="5">
        <f t="shared" ref="K13:K21" si="2">K12+$H$12</f>
        <v>33.444000000000003</v>
      </c>
      <c r="V13" t="s">
        <v>219</v>
      </c>
      <c r="X13" t="s">
        <v>220</v>
      </c>
      <c r="Y13">
        <v>25</v>
      </c>
    </row>
    <row r="14" spans="1:26" x14ac:dyDescent="0.3">
      <c r="A14" s="14">
        <v>3</v>
      </c>
      <c r="B14">
        <v>61</v>
      </c>
      <c r="C14">
        <v>32</v>
      </c>
      <c r="D14">
        <v>88</v>
      </c>
      <c r="E14">
        <v>12</v>
      </c>
      <c r="F14">
        <v>27</v>
      </c>
      <c r="J14" s="6">
        <f t="shared" ref="J14:J21" si="3">J13+$H$12</f>
        <v>74.888000000000005</v>
      </c>
      <c r="K14" s="5">
        <f t="shared" si="2"/>
        <v>54.888000000000005</v>
      </c>
      <c r="X14" t="s">
        <v>221</v>
      </c>
      <c r="Y14">
        <v>20</v>
      </c>
    </row>
    <row r="15" spans="1:26" x14ac:dyDescent="0.3">
      <c r="A15" s="14">
        <v>4</v>
      </c>
      <c r="B15">
        <v>81.3</v>
      </c>
      <c r="C15">
        <v>32</v>
      </c>
      <c r="D15">
        <v>108.3</v>
      </c>
      <c r="E15">
        <v>12</v>
      </c>
      <c r="F15">
        <v>27</v>
      </c>
      <c r="J15" s="6">
        <f t="shared" si="3"/>
        <v>96.332000000000008</v>
      </c>
      <c r="K15" s="5">
        <f t="shared" si="2"/>
        <v>76.332000000000008</v>
      </c>
      <c r="X15" t="s">
        <v>223</v>
      </c>
      <c r="Y15">
        <v>-25</v>
      </c>
      <c r="Z15">
        <v>195</v>
      </c>
    </row>
    <row r="16" spans="1:26" x14ac:dyDescent="0.3">
      <c r="A16" s="14">
        <v>5</v>
      </c>
      <c r="B16">
        <v>101.6</v>
      </c>
      <c r="C16">
        <v>32</v>
      </c>
      <c r="D16">
        <v>128.6</v>
      </c>
      <c r="E16">
        <v>12</v>
      </c>
      <c r="F16">
        <v>27</v>
      </c>
      <c r="J16" s="6">
        <f t="shared" si="3"/>
        <v>117.77600000000001</v>
      </c>
      <c r="K16" s="5">
        <f t="shared" si="2"/>
        <v>97.77600000000001</v>
      </c>
      <c r="X16" t="s">
        <v>222</v>
      </c>
      <c r="Y16">
        <v>-20</v>
      </c>
      <c r="Z16">
        <v>200</v>
      </c>
    </row>
    <row r="17" spans="1:11" x14ac:dyDescent="0.3">
      <c r="A17" s="14">
        <v>6</v>
      </c>
      <c r="B17">
        <v>122</v>
      </c>
      <c r="C17">
        <v>32</v>
      </c>
      <c r="D17">
        <v>149</v>
      </c>
      <c r="E17">
        <v>12</v>
      </c>
      <c r="F17">
        <v>27</v>
      </c>
      <c r="J17" s="6">
        <f t="shared" si="3"/>
        <v>139.22</v>
      </c>
      <c r="K17" s="5">
        <f t="shared" si="2"/>
        <v>119.22000000000001</v>
      </c>
    </row>
    <row r="18" spans="1:11" x14ac:dyDescent="0.3">
      <c r="A18" s="14">
        <v>7</v>
      </c>
      <c r="B18">
        <v>142.30000000000001</v>
      </c>
      <c r="C18">
        <v>32</v>
      </c>
      <c r="D18">
        <v>169.3</v>
      </c>
      <c r="E18">
        <v>12</v>
      </c>
      <c r="F18">
        <v>27</v>
      </c>
      <c r="J18" s="6">
        <f t="shared" si="3"/>
        <v>160.66399999999999</v>
      </c>
      <c r="K18" s="5">
        <f t="shared" si="2"/>
        <v>140.66400000000002</v>
      </c>
    </row>
    <row r="19" spans="1:11" x14ac:dyDescent="0.3">
      <c r="A19" s="14">
        <v>8</v>
      </c>
      <c r="B19">
        <v>162.6</v>
      </c>
      <c r="C19">
        <v>32</v>
      </c>
      <c r="D19">
        <v>189.6</v>
      </c>
      <c r="E19">
        <v>12</v>
      </c>
      <c r="F19">
        <v>27</v>
      </c>
      <c r="J19" s="6">
        <f t="shared" si="3"/>
        <v>182.10799999999998</v>
      </c>
      <c r="K19" s="5">
        <f t="shared" si="2"/>
        <v>162.108</v>
      </c>
    </row>
    <row r="20" spans="1:11" x14ac:dyDescent="0.3">
      <c r="A20" s="14">
        <v>9</v>
      </c>
      <c r="B20">
        <v>183</v>
      </c>
      <c r="C20">
        <v>32</v>
      </c>
      <c r="D20">
        <v>210</v>
      </c>
      <c r="E20">
        <v>12</v>
      </c>
      <c r="F20">
        <v>27</v>
      </c>
      <c r="J20" s="6">
        <f t="shared" si="3"/>
        <v>203.55199999999996</v>
      </c>
      <c r="K20" s="5">
        <f t="shared" si="2"/>
        <v>183.55199999999999</v>
      </c>
    </row>
    <row r="21" spans="1:11" x14ac:dyDescent="0.3">
      <c r="A21" s="14">
        <v>10</v>
      </c>
      <c r="B21">
        <v>183</v>
      </c>
      <c r="C21">
        <v>53.4</v>
      </c>
      <c r="D21">
        <v>210</v>
      </c>
      <c r="E21">
        <v>33.4</v>
      </c>
      <c r="F21">
        <f>C20+$H$12-5</f>
        <v>48.444000000000003</v>
      </c>
      <c r="J21" s="6">
        <f t="shared" si="3"/>
        <v>224.99599999999995</v>
      </c>
      <c r="K21" s="5">
        <f t="shared" si="2"/>
        <v>204.99599999999998</v>
      </c>
    </row>
    <row r="22" spans="1:11" x14ac:dyDescent="0.3">
      <c r="A22" s="14">
        <v>11</v>
      </c>
      <c r="B22">
        <v>162.6</v>
      </c>
      <c r="C22">
        <v>53.4</v>
      </c>
      <c r="D22">
        <v>189.6</v>
      </c>
      <c r="E22">
        <v>33.4</v>
      </c>
      <c r="F22">
        <f>$F$21</f>
        <v>48.444000000000003</v>
      </c>
    </row>
    <row r="23" spans="1:11" x14ac:dyDescent="0.3">
      <c r="A23" s="14">
        <v>12</v>
      </c>
      <c r="B23">
        <v>142.30000000000001</v>
      </c>
      <c r="C23">
        <v>53.4</v>
      </c>
      <c r="D23">
        <v>169.3</v>
      </c>
      <c r="E23">
        <v>33.4</v>
      </c>
      <c r="F23">
        <f t="shared" ref="F23:F30" si="4">$F$21</f>
        <v>48.444000000000003</v>
      </c>
    </row>
    <row r="24" spans="1:11" x14ac:dyDescent="0.3">
      <c r="A24" s="14">
        <v>13</v>
      </c>
      <c r="B24">
        <v>122</v>
      </c>
      <c r="C24">
        <v>53.4</v>
      </c>
      <c r="D24">
        <v>149</v>
      </c>
      <c r="E24">
        <v>33.4</v>
      </c>
      <c r="F24">
        <f t="shared" si="4"/>
        <v>48.444000000000003</v>
      </c>
    </row>
    <row r="25" spans="1:11" x14ac:dyDescent="0.3">
      <c r="A25" s="14">
        <v>14</v>
      </c>
      <c r="B25">
        <v>101.6</v>
      </c>
      <c r="C25">
        <v>53.4</v>
      </c>
      <c r="D25">
        <v>128.6</v>
      </c>
      <c r="E25">
        <v>33.4</v>
      </c>
      <c r="F25">
        <f t="shared" si="4"/>
        <v>48.444000000000003</v>
      </c>
    </row>
    <row r="26" spans="1:11" x14ac:dyDescent="0.3">
      <c r="A26" s="14">
        <v>15</v>
      </c>
      <c r="B26">
        <v>81.3</v>
      </c>
      <c r="C26">
        <v>53.4</v>
      </c>
      <c r="D26">
        <v>108.3</v>
      </c>
      <c r="E26">
        <v>33.4</v>
      </c>
      <c r="F26">
        <f t="shared" si="4"/>
        <v>48.444000000000003</v>
      </c>
      <c r="K26" s="4">
        <v>12</v>
      </c>
    </row>
    <row r="27" spans="1:11" x14ac:dyDescent="0.3">
      <c r="A27" s="14">
        <v>16</v>
      </c>
      <c r="B27">
        <v>61</v>
      </c>
      <c r="C27">
        <v>53.4</v>
      </c>
      <c r="D27">
        <v>88</v>
      </c>
      <c r="E27">
        <v>33.4</v>
      </c>
      <c r="F27">
        <f t="shared" si="4"/>
        <v>48.444000000000003</v>
      </c>
      <c r="K27" s="4">
        <v>33.444000000000003</v>
      </c>
    </row>
    <row r="28" spans="1:11" x14ac:dyDescent="0.3">
      <c r="A28" s="14">
        <v>17</v>
      </c>
      <c r="B28">
        <v>40.700000000000003</v>
      </c>
      <c r="C28">
        <v>53.4</v>
      </c>
      <c r="D28">
        <v>67.7</v>
      </c>
      <c r="E28">
        <v>33.4</v>
      </c>
      <c r="F28">
        <f t="shared" si="4"/>
        <v>48.444000000000003</v>
      </c>
      <c r="K28" s="4">
        <v>54.888000000000005</v>
      </c>
    </row>
    <row r="29" spans="1:11" x14ac:dyDescent="0.3">
      <c r="A29" s="14">
        <v>18</v>
      </c>
      <c r="B29">
        <v>20.3</v>
      </c>
      <c r="C29">
        <v>53.4</v>
      </c>
      <c r="D29">
        <v>47.3</v>
      </c>
      <c r="E29">
        <v>33.4</v>
      </c>
      <c r="F29">
        <f t="shared" si="4"/>
        <v>48.444000000000003</v>
      </c>
      <c r="K29" s="4">
        <v>76.332000000000008</v>
      </c>
    </row>
    <row r="30" spans="1:11" x14ac:dyDescent="0.3">
      <c r="A30" s="14">
        <v>19</v>
      </c>
      <c r="B30">
        <v>0</v>
      </c>
      <c r="C30">
        <v>53.4</v>
      </c>
      <c r="D30">
        <v>27</v>
      </c>
      <c r="E30">
        <v>33.4</v>
      </c>
      <c r="F30">
        <f t="shared" si="4"/>
        <v>48.444000000000003</v>
      </c>
      <c r="K30" s="4">
        <v>97.77600000000001</v>
      </c>
    </row>
    <row r="31" spans="1:11" x14ac:dyDescent="0.3">
      <c r="A31" s="14">
        <v>20</v>
      </c>
      <c r="B31">
        <v>0</v>
      </c>
      <c r="C31">
        <v>74.900000000000006</v>
      </c>
      <c r="D31">
        <v>27</v>
      </c>
      <c r="E31">
        <v>54.9</v>
      </c>
      <c r="F31">
        <f>C30+$H$12-5</f>
        <v>69.843999999999994</v>
      </c>
      <c r="K31" s="4">
        <v>119.22000000000001</v>
      </c>
    </row>
    <row r="32" spans="1:11" x14ac:dyDescent="0.3">
      <c r="A32" s="14">
        <v>21</v>
      </c>
      <c r="B32">
        <v>20.3</v>
      </c>
      <c r="C32">
        <v>74.900000000000006</v>
      </c>
      <c r="D32">
        <v>47.3</v>
      </c>
      <c r="E32">
        <v>54.9</v>
      </c>
      <c r="F32">
        <f>$F$31</f>
        <v>69.843999999999994</v>
      </c>
      <c r="K32" s="4">
        <v>140.66400000000002</v>
      </c>
    </row>
    <row r="33" spans="1:26" x14ac:dyDescent="0.3">
      <c r="A33" s="14">
        <v>22</v>
      </c>
      <c r="B33">
        <v>40.700000000000003</v>
      </c>
      <c r="C33">
        <v>74.900000000000006</v>
      </c>
      <c r="D33">
        <v>67.7</v>
      </c>
      <c r="E33">
        <v>54.9</v>
      </c>
      <c r="F33">
        <f t="shared" ref="F33:F40" si="5">$F$31</f>
        <v>69.843999999999994</v>
      </c>
      <c r="K33" s="4">
        <v>162.108</v>
      </c>
      <c r="Z33" s="10"/>
    </row>
    <row r="34" spans="1:26" x14ac:dyDescent="0.3">
      <c r="A34" s="14">
        <v>23</v>
      </c>
      <c r="B34">
        <v>61</v>
      </c>
      <c r="C34">
        <v>74.900000000000006</v>
      </c>
      <c r="D34">
        <v>88</v>
      </c>
      <c r="E34">
        <v>54.9</v>
      </c>
      <c r="F34">
        <f t="shared" si="5"/>
        <v>69.843999999999994</v>
      </c>
      <c r="K34" s="4">
        <v>183.55199999999999</v>
      </c>
    </row>
    <row r="35" spans="1:26" x14ac:dyDescent="0.3">
      <c r="A35" s="14">
        <v>24</v>
      </c>
      <c r="B35">
        <v>81.3</v>
      </c>
      <c r="C35">
        <v>74.900000000000006</v>
      </c>
      <c r="D35">
        <v>108.3</v>
      </c>
      <c r="E35">
        <v>54.9</v>
      </c>
      <c r="F35">
        <f t="shared" si="5"/>
        <v>69.843999999999994</v>
      </c>
      <c r="K35" s="4">
        <v>204.99599999999998</v>
      </c>
    </row>
    <row r="36" spans="1:26" x14ac:dyDescent="0.3">
      <c r="A36" s="14">
        <v>25</v>
      </c>
      <c r="B36">
        <v>101.6</v>
      </c>
      <c r="C36">
        <v>74.900000000000006</v>
      </c>
      <c r="D36">
        <v>128.6</v>
      </c>
      <c r="E36">
        <v>54.9</v>
      </c>
      <c r="F36">
        <f t="shared" si="5"/>
        <v>69.843999999999994</v>
      </c>
      <c r="H36" s="15"/>
      <c r="I36" s="15"/>
      <c r="K36" s="21" t="s">
        <v>227</v>
      </c>
      <c r="L36" s="4">
        <v>27</v>
      </c>
      <c r="M36" s="4">
        <v>47.332999999999998</v>
      </c>
      <c r="N36" s="4">
        <v>67.665999999999997</v>
      </c>
      <c r="O36" s="4">
        <v>87.998999999999995</v>
      </c>
      <c r="P36" s="4">
        <v>108.33199999999999</v>
      </c>
      <c r="Q36" s="4">
        <v>128.66499999999999</v>
      </c>
      <c r="R36" s="4">
        <v>148.99799999999999</v>
      </c>
      <c r="S36" s="4">
        <v>169.33099999999999</v>
      </c>
      <c r="T36" s="4">
        <v>189.66399999999999</v>
      </c>
    </row>
    <row r="37" spans="1:26" x14ac:dyDescent="0.3">
      <c r="A37" s="14">
        <v>26</v>
      </c>
      <c r="B37">
        <v>122</v>
      </c>
      <c r="C37">
        <v>74.900000000000006</v>
      </c>
      <c r="D37">
        <v>149</v>
      </c>
      <c r="E37">
        <v>54.9</v>
      </c>
      <c r="F37">
        <f t="shared" si="5"/>
        <v>69.843999999999994</v>
      </c>
      <c r="H37" s="15"/>
      <c r="I37" s="15"/>
    </row>
    <row r="38" spans="1:26" x14ac:dyDescent="0.3">
      <c r="A38" s="14">
        <v>27</v>
      </c>
      <c r="B38">
        <v>142.30000000000001</v>
      </c>
      <c r="C38">
        <v>74.900000000000006</v>
      </c>
      <c r="D38">
        <v>169.3</v>
      </c>
      <c r="E38">
        <v>54.9</v>
      </c>
      <c r="F38">
        <f t="shared" si="5"/>
        <v>69.843999999999994</v>
      </c>
    </row>
    <row r="39" spans="1:26" x14ac:dyDescent="0.3">
      <c r="A39" s="14">
        <v>28</v>
      </c>
      <c r="B39">
        <v>162.6</v>
      </c>
      <c r="C39">
        <v>74.900000000000006</v>
      </c>
      <c r="D39">
        <v>189.6</v>
      </c>
      <c r="E39">
        <v>54.9</v>
      </c>
      <c r="F39">
        <f t="shared" si="5"/>
        <v>69.843999999999994</v>
      </c>
    </row>
    <row r="40" spans="1:26" x14ac:dyDescent="0.3">
      <c r="A40" s="14">
        <v>29</v>
      </c>
      <c r="B40">
        <v>183</v>
      </c>
      <c r="C40">
        <v>74.900000000000006</v>
      </c>
      <c r="D40">
        <v>210</v>
      </c>
      <c r="E40">
        <v>54.9</v>
      </c>
      <c r="F40">
        <f t="shared" si="5"/>
        <v>69.843999999999994</v>
      </c>
    </row>
    <row r="41" spans="1:26" x14ac:dyDescent="0.3">
      <c r="A41" s="14">
        <v>30</v>
      </c>
      <c r="B41">
        <v>183</v>
      </c>
      <c r="C41">
        <v>96.3</v>
      </c>
      <c r="D41">
        <v>210</v>
      </c>
      <c r="E41">
        <v>76.3</v>
      </c>
      <c r="F41">
        <f>C40+$H$12-5</f>
        <v>91.344000000000008</v>
      </c>
    </row>
    <row r="42" spans="1:26" x14ac:dyDescent="0.3">
      <c r="A42" s="14">
        <v>31</v>
      </c>
      <c r="B42">
        <v>162.6</v>
      </c>
      <c r="C42">
        <v>96.3</v>
      </c>
      <c r="D42">
        <v>189.6</v>
      </c>
      <c r="E42">
        <v>76.3</v>
      </c>
      <c r="F42">
        <f>$F$41</f>
        <v>91.344000000000008</v>
      </c>
      <c r="J42" s="4"/>
      <c r="K42" s="4"/>
      <c r="L42" s="4"/>
      <c r="M42" s="4"/>
      <c r="N42" s="4"/>
    </row>
    <row r="43" spans="1:26" x14ac:dyDescent="0.3">
      <c r="A43" s="14">
        <v>32</v>
      </c>
      <c r="B43">
        <v>142.30000000000001</v>
      </c>
      <c r="C43">
        <v>96.3</v>
      </c>
      <c r="D43">
        <v>169.3</v>
      </c>
      <c r="E43">
        <v>76.3</v>
      </c>
      <c r="F43">
        <f t="shared" ref="F43:F50" si="6">$F$41</f>
        <v>91.344000000000008</v>
      </c>
      <c r="K43" s="16"/>
    </row>
    <row r="44" spans="1:26" x14ac:dyDescent="0.3">
      <c r="A44" s="14">
        <v>33</v>
      </c>
      <c r="B44">
        <v>122</v>
      </c>
      <c r="C44">
        <v>96.3</v>
      </c>
      <c r="D44">
        <v>149</v>
      </c>
      <c r="E44">
        <v>76.3</v>
      </c>
      <c r="F44">
        <f t="shared" si="6"/>
        <v>91.344000000000008</v>
      </c>
    </row>
    <row r="45" spans="1:26" x14ac:dyDescent="0.3">
      <c r="A45" s="14">
        <v>34</v>
      </c>
      <c r="B45">
        <v>101.6</v>
      </c>
      <c r="C45">
        <v>96.3</v>
      </c>
      <c r="D45">
        <v>128.6</v>
      </c>
      <c r="E45">
        <v>76.3</v>
      </c>
      <c r="F45">
        <f t="shared" si="6"/>
        <v>91.344000000000008</v>
      </c>
    </row>
    <row r="46" spans="1:26" x14ac:dyDescent="0.3">
      <c r="A46" s="14">
        <v>35</v>
      </c>
      <c r="B46">
        <v>81.3</v>
      </c>
      <c r="C46">
        <v>96.3</v>
      </c>
      <c r="D46">
        <v>108.3</v>
      </c>
      <c r="E46">
        <v>76.3</v>
      </c>
      <c r="F46">
        <f t="shared" si="6"/>
        <v>91.344000000000008</v>
      </c>
    </row>
    <row r="47" spans="1:26" x14ac:dyDescent="0.3">
      <c r="A47" s="14">
        <v>36</v>
      </c>
      <c r="B47">
        <v>61</v>
      </c>
      <c r="C47">
        <v>96.3</v>
      </c>
      <c r="D47">
        <v>88</v>
      </c>
      <c r="E47">
        <v>76.3</v>
      </c>
      <c r="F47">
        <f t="shared" si="6"/>
        <v>91.344000000000008</v>
      </c>
    </row>
    <row r="48" spans="1:26" x14ac:dyDescent="0.3">
      <c r="A48" s="14">
        <v>37</v>
      </c>
      <c r="B48">
        <v>40.700000000000003</v>
      </c>
      <c r="C48">
        <v>96.3</v>
      </c>
      <c r="D48">
        <v>67.7</v>
      </c>
      <c r="E48">
        <v>76.3</v>
      </c>
      <c r="F48">
        <f t="shared" si="6"/>
        <v>91.344000000000008</v>
      </c>
    </row>
    <row r="49" spans="1:22" x14ac:dyDescent="0.3">
      <c r="A49" s="14">
        <v>38</v>
      </c>
      <c r="B49">
        <v>20.3</v>
      </c>
      <c r="C49">
        <v>96.3</v>
      </c>
      <c r="D49">
        <v>47.3</v>
      </c>
      <c r="E49">
        <v>76.3</v>
      </c>
      <c r="F49">
        <f t="shared" si="6"/>
        <v>91.344000000000008</v>
      </c>
    </row>
    <row r="50" spans="1:22" x14ac:dyDescent="0.3">
      <c r="A50" s="14">
        <v>39</v>
      </c>
      <c r="B50">
        <v>0</v>
      </c>
      <c r="C50">
        <v>96.3</v>
      </c>
      <c r="D50">
        <v>27</v>
      </c>
      <c r="E50">
        <v>76.3</v>
      </c>
      <c r="F50">
        <f t="shared" si="6"/>
        <v>91.344000000000008</v>
      </c>
    </row>
    <row r="51" spans="1:22" x14ac:dyDescent="0.3">
      <c r="A51" s="14">
        <v>40</v>
      </c>
      <c r="B51">
        <v>0</v>
      </c>
      <c r="C51">
        <v>117.8</v>
      </c>
      <c r="D51">
        <v>27</v>
      </c>
      <c r="E51">
        <v>97.8</v>
      </c>
      <c r="F51">
        <f>C50+$H$12-5</f>
        <v>112.744</v>
      </c>
    </row>
    <row r="52" spans="1:22" x14ac:dyDescent="0.3">
      <c r="A52" s="14">
        <v>41</v>
      </c>
      <c r="B52">
        <v>20.3</v>
      </c>
      <c r="C52">
        <v>117.8</v>
      </c>
      <c r="D52">
        <v>47.3</v>
      </c>
      <c r="E52">
        <v>97.8</v>
      </c>
      <c r="F52">
        <f>$F$51</f>
        <v>112.744</v>
      </c>
    </row>
    <row r="53" spans="1:22" x14ac:dyDescent="0.3">
      <c r="A53" s="14">
        <v>42</v>
      </c>
      <c r="B53">
        <v>40.700000000000003</v>
      </c>
      <c r="C53">
        <v>117.8</v>
      </c>
      <c r="D53">
        <v>67.7</v>
      </c>
      <c r="E53">
        <v>97.8</v>
      </c>
      <c r="F53">
        <f t="shared" ref="F53:F60" si="7">$F$51</f>
        <v>112.744</v>
      </c>
    </row>
    <row r="54" spans="1:22" x14ac:dyDescent="0.3">
      <c r="A54" s="14">
        <v>43</v>
      </c>
      <c r="B54">
        <v>61</v>
      </c>
      <c r="C54">
        <v>117.8</v>
      </c>
      <c r="D54">
        <v>88</v>
      </c>
      <c r="E54">
        <v>97.8</v>
      </c>
      <c r="F54">
        <f t="shared" si="7"/>
        <v>112.744</v>
      </c>
    </row>
    <row r="55" spans="1:22" x14ac:dyDescent="0.3">
      <c r="A55" s="14">
        <v>44</v>
      </c>
      <c r="B55">
        <v>81.3</v>
      </c>
      <c r="C55">
        <v>117.8</v>
      </c>
      <c r="D55">
        <v>108.3</v>
      </c>
      <c r="E55">
        <v>97.8</v>
      </c>
      <c r="F55">
        <f t="shared" si="7"/>
        <v>112.744</v>
      </c>
      <c r="K55" s="16"/>
    </row>
    <row r="56" spans="1:22" x14ac:dyDescent="0.3">
      <c r="A56" s="14">
        <v>45</v>
      </c>
      <c r="B56">
        <v>101.6</v>
      </c>
      <c r="C56">
        <v>117.8</v>
      </c>
      <c r="D56">
        <v>128.6</v>
      </c>
      <c r="E56">
        <v>97.8</v>
      </c>
      <c r="F56">
        <f t="shared" si="7"/>
        <v>112.744</v>
      </c>
      <c r="K56" s="10"/>
      <c r="L56" s="10"/>
      <c r="M56" s="10"/>
      <c r="N56" s="10"/>
      <c r="O56" s="10"/>
      <c r="P56" s="10"/>
      <c r="Q56" s="10"/>
      <c r="R56" s="10"/>
      <c r="S56" s="10"/>
      <c r="T56" s="10"/>
    </row>
    <row r="57" spans="1:22" x14ac:dyDescent="0.3">
      <c r="A57" s="14">
        <v>46</v>
      </c>
      <c r="B57">
        <v>122</v>
      </c>
      <c r="C57">
        <v>117.8</v>
      </c>
      <c r="D57">
        <v>149</v>
      </c>
      <c r="E57">
        <v>97.8</v>
      </c>
      <c r="F57">
        <f t="shared" si="7"/>
        <v>112.744</v>
      </c>
      <c r="K57" s="10"/>
      <c r="L57" s="10"/>
      <c r="M57" s="10"/>
      <c r="N57" s="10"/>
      <c r="O57" s="10"/>
      <c r="P57" s="10"/>
      <c r="Q57" s="10"/>
      <c r="R57" s="10"/>
      <c r="S57" s="10"/>
      <c r="T57" s="10"/>
    </row>
    <row r="58" spans="1:22" x14ac:dyDescent="0.3">
      <c r="A58" s="14">
        <v>47</v>
      </c>
      <c r="B58">
        <v>142.30000000000001</v>
      </c>
      <c r="C58">
        <v>117.8</v>
      </c>
      <c r="D58">
        <v>169.3</v>
      </c>
      <c r="E58">
        <v>97.8</v>
      </c>
      <c r="F58">
        <f t="shared" si="7"/>
        <v>112.744</v>
      </c>
      <c r="K58" s="10"/>
      <c r="L58" s="10"/>
      <c r="M58" s="10"/>
      <c r="N58" s="10"/>
      <c r="O58" s="10"/>
      <c r="P58" s="10"/>
      <c r="Q58" s="10"/>
      <c r="R58" s="10"/>
      <c r="S58" s="10"/>
      <c r="T58" s="10"/>
    </row>
    <row r="59" spans="1:22" x14ac:dyDescent="0.3">
      <c r="A59" s="14">
        <v>48</v>
      </c>
      <c r="B59">
        <v>162.6</v>
      </c>
      <c r="C59">
        <v>117.8</v>
      </c>
      <c r="D59">
        <v>189.6</v>
      </c>
      <c r="E59">
        <v>97.8</v>
      </c>
      <c r="F59">
        <f t="shared" si="7"/>
        <v>112.744</v>
      </c>
      <c r="K59" s="10"/>
      <c r="L59" s="10"/>
      <c r="M59" s="10"/>
      <c r="N59" s="10"/>
      <c r="O59" s="10"/>
      <c r="P59" s="10"/>
      <c r="Q59" s="10"/>
      <c r="R59" s="10"/>
      <c r="S59" s="10"/>
      <c r="T59" s="10"/>
      <c r="V59" s="10"/>
    </row>
    <row r="60" spans="1:22" x14ac:dyDescent="0.3">
      <c r="A60" s="14">
        <v>49</v>
      </c>
      <c r="B60">
        <v>183</v>
      </c>
      <c r="C60">
        <v>117.8</v>
      </c>
      <c r="D60">
        <v>210</v>
      </c>
      <c r="E60">
        <v>97.8</v>
      </c>
      <c r="F60">
        <f t="shared" si="7"/>
        <v>112.744</v>
      </c>
      <c r="K60" s="10"/>
      <c r="L60" s="10"/>
      <c r="M60" s="10"/>
      <c r="N60" s="10"/>
      <c r="O60" s="10"/>
      <c r="P60" s="10"/>
      <c r="Q60" s="10"/>
      <c r="R60" s="10"/>
      <c r="S60" s="10"/>
      <c r="T60" s="10"/>
      <c r="V60" s="10"/>
    </row>
    <row r="61" spans="1:22" x14ac:dyDescent="0.3">
      <c r="A61" s="14">
        <v>50</v>
      </c>
      <c r="B61">
        <v>183</v>
      </c>
      <c r="C61">
        <v>139.19999999999999</v>
      </c>
      <c r="D61">
        <v>210</v>
      </c>
      <c r="E61">
        <v>119.2</v>
      </c>
      <c r="F61">
        <f>C60+$H$12-5</f>
        <v>134.244</v>
      </c>
      <c r="K61" s="10"/>
      <c r="L61" s="10"/>
      <c r="M61" s="10"/>
      <c r="N61" s="10"/>
      <c r="O61" s="10"/>
      <c r="P61" s="10"/>
      <c r="Q61" s="10"/>
      <c r="R61" s="10"/>
      <c r="S61" s="10"/>
      <c r="T61" s="10"/>
      <c r="V61" s="10"/>
    </row>
    <row r="62" spans="1:22" x14ac:dyDescent="0.3">
      <c r="A62" s="14">
        <v>51</v>
      </c>
      <c r="B62">
        <v>162.6</v>
      </c>
      <c r="C62">
        <v>139.19999999999999</v>
      </c>
      <c r="D62">
        <v>189.6</v>
      </c>
      <c r="E62">
        <v>119.2</v>
      </c>
      <c r="F62">
        <f>$F$61</f>
        <v>134.244</v>
      </c>
      <c r="K62" s="10"/>
      <c r="L62" s="10"/>
      <c r="M62" s="10"/>
      <c r="N62" s="10"/>
      <c r="O62" s="10"/>
      <c r="P62" s="10"/>
      <c r="Q62" s="10"/>
      <c r="R62" s="10"/>
      <c r="S62" s="10"/>
      <c r="T62" s="10"/>
      <c r="V62" s="10"/>
    </row>
    <row r="63" spans="1:22" x14ac:dyDescent="0.3">
      <c r="A63" s="14">
        <v>52</v>
      </c>
      <c r="B63">
        <v>142.30000000000001</v>
      </c>
      <c r="C63">
        <v>139.19999999999999</v>
      </c>
      <c r="D63">
        <v>169.3</v>
      </c>
      <c r="E63">
        <v>119.2</v>
      </c>
      <c r="F63">
        <f t="shared" ref="F63:F70" si="8">$F$61</f>
        <v>134.244</v>
      </c>
      <c r="K63" s="10"/>
      <c r="L63" s="10"/>
      <c r="M63" s="10"/>
      <c r="N63" s="10"/>
      <c r="O63" s="10"/>
      <c r="P63" s="10"/>
      <c r="Q63" s="10"/>
      <c r="R63" s="10"/>
      <c r="S63" s="10"/>
      <c r="T63" s="10"/>
      <c r="V63" s="10"/>
    </row>
    <row r="64" spans="1:22" x14ac:dyDescent="0.3">
      <c r="A64" s="14">
        <v>53</v>
      </c>
      <c r="B64">
        <v>122</v>
      </c>
      <c r="C64">
        <v>139.19999999999999</v>
      </c>
      <c r="D64">
        <v>149</v>
      </c>
      <c r="E64">
        <v>119.2</v>
      </c>
      <c r="F64">
        <f t="shared" si="8"/>
        <v>134.244</v>
      </c>
      <c r="K64" s="10"/>
      <c r="L64" s="10"/>
      <c r="M64" s="10"/>
      <c r="N64" s="10"/>
      <c r="O64" s="10"/>
      <c r="P64" s="10"/>
      <c r="Q64" s="10"/>
      <c r="R64" s="10"/>
      <c r="S64" s="10"/>
      <c r="T64" s="10"/>
      <c r="V64" s="10"/>
    </row>
    <row r="65" spans="1:22" x14ac:dyDescent="0.3">
      <c r="A65" s="14">
        <v>54</v>
      </c>
      <c r="B65">
        <v>101.6</v>
      </c>
      <c r="C65">
        <v>139.19999999999999</v>
      </c>
      <c r="D65">
        <v>128.6</v>
      </c>
      <c r="E65">
        <v>119.2</v>
      </c>
      <c r="F65">
        <f t="shared" si="8"/>
        <v>134.244</v>
      </c>
      <c r="K65" s="10"/>
      <c r="L65" s="10"/>
      <c r="M65" s="10"/>
      <c r="N65" s="10"/>
      <c r="O65" s="10"/>
      <c r="P65" s="10"/>
      <c r="Q65" s="10"/>
      <c r="R65" s="10"/>
      <c r="S65" s="10"/>
      <c r="T65" s="10"/>
      <c r="V65" s="10"/>
    </row>
    <row r="66" spans="1:22" x14ac:dyDescent="0.3">
      <c r="A66" s="14">
        <v>55</v>
      </c>
      <c r="B66">
        <v>81.3</v>
      </c>
      <c r="C66">
        <v>139.19999999999999</v>
      </c>
      <c r="D66">
        <v>108.3</v>
      </c>
      <c r="E66">
        <v>119.2</v>
      </c>
      <c r="F66">
        <f t="shared" si="8"/>
        <v>134.244</v>
      </c>
      <c r="K66" s="16"/>
      <c r="V66" s="10"/>
    </row>
    <row r="67" spans="1:22" x14ac:dyDescent="0.3">
      <c r="A67" s="14">
        <v>56</v>
      </c>
      <c r="B67">
        <v>61</v>
      </c>
      <c r="C67">
        <v>139.19999999999999</v>
      </c>
      <c r="D67">
        <v>88</v>
      </c>
      <c r="E67">
        <v>119.2</v>
      </c>
      <c r="F67">
        <f t="shared" si="8"/>
        <v>134.244</v>
      </c>
      <c r="K67" s="10"/>
      <c r="L67" s="10"/>
      <c r="M67" s="10"/>
      <c r="N67" s="10"/>
      <c r="O67" s="10"/>
      <c r="P67" s="10"/>
      <c r="Q67" s="10"/>
      <c r="R67" s="10"/>
      <c r="S67" s="10"/>
      <c r="T67" s="10"/>
      <c r="V67" s="10"/>
    </row>
    <row r="68" spans="1:22" x14ac:dyDescent="0.3">
      <c r="A68" s="14">
        <v>57</v>
      </c>
      <c r="B68">
        <v>40.700000000000003</v>
      </c>
      <c r="C68">
        <v>139.19999999999999</v>
      </c>
      <c r="D68">
        <v>67.7</v>
      </c>
      <c r="E68">
        <v>119.2</v>
      </c>
      <c r="F68">
        <f t="shared" si="8"/>
        <v>134.244</v>
      </c>
      <c r="K68" s="10"/>
      <c r="L68" s="10"/>
      <c r="M68" s="10"/>
      <c r="N68" s="10"/>
      <c r="O68" s="10"/>
      <c r="P68" s="10"/>
      <c r="Q68" s="10"/>
      <c r="R68" s="10"/>
      <c r="S68" s="10"/>
      <c r="T68" s="10"/>
      <c r="V68" s="10"/>
    </row>
    <row r="69" spans="1:22" x14ac:dyDescent="0.3">
      <c r="A69" s="14">
        <v>58</v>
      </c>
      <c r="B69">
        <v>20.3</v>
      </c>
      <c r="C69">
        <v>139.19999999999999</v>
      </c>
      <c r="D69">
        <v>47.3</v>
      </c>
      <c r="E69">
        <v>119.2</v>
      </c>
      <c r="F69">
        <f t="shared" si="8"/>
        <v>134.244</v>
      </c>
      <c r="K69" s="10"/>
      <c r="L69" s="10"/>
      <c r="M69" s="10"/>
      <c r="N69" s="10"/>
      <c r="O69" s="10"/>
      <c r="P69" s="10"/>
      <c r="Q69" s="10"/>
      <c r="R69" s="10"/>
      <c r="S69" s="10"/>
      <c r="T69" s="10"/>
      <c r="V69" s="10"/>
    </row>
    <row r="70" spans="1:22" x14ac:dyDescent="0.3">
      <c r="A70" s="14">
        <v>59</v>
      </c>
      <c r="B70">
        <v>0</v>
      </c>
      <c r="C70">
        <v>139.19999999999999</v>
      </c>
      <c r="D70">
        <v>27</v>
      </c>
      <c r="E70">
        <v>119.2</v>
      </c>
      <c r="F70">
        <f t="shared" si="8"/>
        <v>134.244</v>
      </c>
      <c r="K70" s="10"/>
      <c r="L70" s="10"/>
      <c r="M70" s="10"/>
      <c r="N70" s="10"/>
      <c r="O70" s="10"/>
      <c r="P70" s="10"/>
      <c r="Q70" s="10"/>
      <c r="R70" s="10"/>
      <c r="S70" s="10"/>
      <c r="T70" s="10"/>
      <c r="V70" s="10"/>
    </row>
    <row r="71" spans="1:22" x14ac:dyDescent="0.3">
      <c r="A71" s="14">
        <v>60</v>
      </c>
      <c r="B71">
        <v>0</v>
      </c>
      <c r="C71">
        <v>160.6</v>
      </c>
      <c r="D71">
        <v>27</v>
      </c>
      <c r="E71">
        <v>140.6</v>
      </c>
      <c r="F71">
        <f>C70+$H$12-5</f>
        <v>155.64399999999998</v>
      </c>
      <c r="K71" s="10"/>
      <c r="L71" s="10"/>
      <c r="M71" s="10"/>
      <c r="N71" s="10"/>
      <c r="O71" s="10"/>
      <c r="P71" s="10"/>
      <c r="Q71" s="10"/>
      <c r="R71" s="10"/>
      <c r="S71" s="10"/>
      <c r="T71" s="10"/>
      <c r="V71" s="10"/>
    </row>
    <row r="72" spans="1:22" x14ac:dyDescent="0.3">
      <c r="A72" s="14">
        <v>61</v>
      </c>
      <c r="B72">
        <v>20.3</v>
      </c>
      <c r="C72">
        <v>160.6</v>
      </c>
      <c r="D72">
        <v>47.3</v>
      </c>
      <c r="E72">
        <v>140.6</v>
      </c>
      <c r="F72">
        <f>$F$71</f>
        <v>155.64399999999998</v>
      </c>
      <c r="K72" s="10"/>
      <c r="L72" s="10"/>
      <c r="M72" s="10"/>
      <c r="N72" s="10"/>
      <c r="O72" s="10"/>
      <c r="P72" s="10"/>
      <c r="Q72" s="10"/>
      <c r="R72" s="10"/>
      <c r="S72" s="10"/>
      <c r="T72" s="10"/>
    </row>
    <row r="73" spans="1:22" x14ac:dyDescent="0.3">
      <c r="A73" s="14">
        <v>62</v>
      </c>
      <c r="B73">
        <v>40.700000000000003</v>
      </c>
      <c r="C73">
        <v>160.6</v>
      </c>
      <c r="D73">
        <v>67.7</v>
      </c>
      <c r="E73">
        <v>140.6</v>
      </c>
      <c r="F73">
        <f t="shared" ref="F73:F80" si="9">$F$71</f>
        <v>155.64399999999998</v>
      </c>
      <c r="K73" s="10"/>
      <c r="L73" s="10"/>
      <c r="M73" s="10"/>
      <c r="N73" s="10"/>
      <c r="O73" s="10"/>
      <c r="P73" s="10"/>
      <c r="Q73" s="10"/>
      <c r="R73" s="10"/>
      <c r="S73" s="10"/>
      <c r="T73" s="10"/>
    </row>
    <row r="74" spans="1:22" x14ac:dyDescent="0.3">
      <c r="A74" s="14">
        <v>63</v>
      </c>
      <c r="B74">
        <v>61</v>
      </c>
      <c r="C74">
        <v>160.6</v>
      </c>
      <c r="D74">
        <v>88</v>
      </c>
      <c r="E74">
        <v>140.6</v>
      </c>
      <c r="F74">
        <f t="shared" si="9"/>
        <v>155.64399999999998</v>
      </c>
      <c r="K74" s="10"/>
      <c r="L74" s="10"/>
      <c r="M74" s="10"/>
      <c r="N74" s="10"/>
      <c r="O74" s="10"/>
      <c r="P74" s="10"/>
      <c r="Q74" s="10"/>
      <c r="R74" s="10"/>
      <c r="S74" s="10"/>
      <c r="T74" s="10"/>
    </row>
    <row r="75" spans="1:22" x14ac:dyDescent="0.3">
      <c r="A75" s="14">
        <v>64</v>
      </c>
      <c r="B75">
        <v>81.3</v>
      </c>
      <c r="C75">
        <v>160.6</v>
      </c>
      <c r="D75">
        <v>108.3</v>
      </c>
      <c r="E75">
        <v>140.6</v>
      </c>
      <c r="F75">
        <f t="shared" si="9"/>
        <v>155.64399999999998</v>
      </c>
      <c r="K75" s="10"/>
      <c r="L75" s="10"/>
      <c r="M75" s="10"/>
      <c r="N75" s="10"/>
      <c r="O75" s="10"/>
      <c r="P75" s="10"/>
      <c r="Q75" s="10"/>
      <c r="R75" s="10"/>
      <c r="S75" s="10"/>
      <c r="T75" s="10"/>
    </row>
    <row r="76" spans="1:22" x14ac:dyDescent="0.3">
      <c r="A76" s="14">
        <v>65</v>
      </c>
      <c r="B76">
        <v>101.6</v>
      </c>
      <c r="C76">
        <v>160.6</v>
      </c>
      <c r="D76">
        <v>128.6</v>
      </c>
      <c r="E76">
        <v>140.6</v>
      </c>
      <c r="F76">
        <f t="shared" si="9"/>
        <v>155.64399999999998</v>
      </c>
      <c r="K76" s="10"/>
      <c r="L76" s="10"/>
      <c r="M76" s="10"/>
      <c r="N76" s="10"/>
      <c r="O76" s="10"/>
      <c r="P76" s="10"/>
      <c r="Q76" s="10"/>
      <c r="R76" s="10"/>
      <c r="S76" s="10"/>
      <c r="T76" s="10"/>
    </row>
    <row r="77" spans="1:22" x14ac:dyDescent="0.3">
      <c r="A77" s="14">
        <v>66</v>
      </c>
      <c r="B77">
        <v>122</v>
      </c>
      <c r="C77">
        <v>160.6</v>
      </c>
      <c r="D77">
        <v>149</v>
      </c>
      <c r="E77">
        <v>140.6</v>
      </c>
      <c r="F77">
        <f t="shared" si="9"/>
        <v>155.64399999999998</v>
      </c>
      <c r="K77" s="10"/>
      <c r="L77" s="10"/>
      <c r="M77" s="10"/>
      <c r="N77" s="10"/>
      <c r="O77" s="10"/>
      <c r="P77" s="10"/>
      <c r="Q77" s="10"/>
      <c r="R77" s="10"/>
      <c r="S77" s="10"/>
      <c r="T77" s="10"/>
      <c r="U77" s="10"/>
    </row>
    <row r="78" spans="1:22" x14ac:dyDescent="0.3">
      <c r="A78" s="14">
        <v>67</v>
      </c>
      <c r="B78">
        <v>142.30000000000001</v>
      </c>
      <c r="C78">
        <v>160.6</v>
      </c>
      <c r="D78">
        <v>169.3</v>
      </c>
      <c r="E78">
        <v>140.6</v>
      </c>
      <c r="F78">
        <f t="shared" si="9"/>
        <v>155.64399999999998</v>
      </c>
      <c r="K78" s="10"/>
      <c r="L78" s="10"/>
      <c r="M78" s="10"/>
      <c r="N78" s="10"/>
      <c r="O78" s="10"/>
      <c r="P78" s="10"/>
      <c r="Q78" s="10"/>
      <c r="R78" s="10"/>
      <c r="S78" s="10"/>
      <c r="T78" s="10"/>
      <c r="U78" s="10"/>
    </row>
    <row r="79" spans="1:22" x14ac:dyDescent="0.3">
      <c r="A79" s="14">
        <v>68</v>
      </c>
      <c r="B79">
        <v>162.6</v>
      </c>
      <c r="C79">
        <v>160.6</v>
      </c>
      <c r="D79">
        <v>189.6</v>
      </c>
      <c r="E79">
        <v>140.6</v>
      </c>
      <c r="F79">
        <f t="shared" si="9"/>
        <v>155.64399999999998</v>
      </c>
      <c r="K79" s="10"/>
      <c r="L79" s="10"/>
      <c r="M79" s="10"/>
      <c r="N79" s="10"/>
      <c r="O79" s="10"/>
      <c r="P79" s="10"/>
      <c r="Q79" s="10"/>
      <c r="R79" s="10"/>
      <c r="S79" s="10"/>
      <c r="T79" s="10"/>
      <c r="U79" s="10"/>
    </row>
    <row r="80" spans="1:22" x14ac:dyDescent="0.3">
      <c r="A80" s="14">
        <v>69</v>
      </c>
      <c r="B80">
        <v>183</v>
      </c>
      <c r="C80">
        <v>160.6</v>
      </c>
      <c r="D80">
        <v>210</v>
      </c>
      <c r="E80">
        <v>140.6</v>
      </c>
      <c r="F80">
        <f t="shared" si="9"/>
        <v>155.64399999999998</v>
      </c>
      <c r="K80" s="10"/>
      <c r="L80" s="10"/>
      <c r="M80" s="10"/>
      <c r="N80" s="10"/>
      <c r="O80" s="10"/>
      <c r="P80" s="10"/>
      <c r="Q80" s="10"/>
      <c r="R80" s="10"/>
      <c r="S80" s="10"/>
      <c r="T80" s="10"/>
      <c r="U80" s="10"/>
    </row>
    <row r="81" spans="1:22" x14ac:dyDescent="0.3">
      <c r="A81" s="14">
        <v>70</v>
      </c>
      <c r="B81">
        <v>183</v>
      </c>
      <c r="C81">
        <v>182.1</v>
      </c>
      <c r="D81">
        <v>210</v>
      </c>
      <c r="E81">
        <v>162.1</v>
      </c>
      <c r="F81">
        <f>C80+$H$12-5</f>
        <v>177.04399999999998</v>
      </c>
      <c r="K81" s="10"/>
      <c r="L81" s="10"/>
      <c r="M81" s="10"/>
      <c r="N81" s="10"/>
      <c r="O81" s="10"/>
      <c r="P81" s="10"/>
      <c r="Q81" s="10"/>
      <c r="R81" s="10"/>
      <c r="S81" s="10"/>
      <c r="T81" s="10"/>
      <c r="U81" s="10"/>
    </row>
    <row r="82" spans="1:22" x14ac:dyDescent="0.3">
      <c r="A82" s="14">
        <v>71</v>
      </c>
      <c r="B82">
        <v>162.6</v>
      </c>
      <c r="C82">
        <v>182.1</v>
      </c>
      <c r="D82">
        <v>189.6</v>
      </c>
      <c r="E82">
        <v>162.1</v>
      </c>
      <c r="F82">
        <f>$F$81</f>
        <v>177.04399999999998</v>
      </c>
      <c r="K82" s="10"/>
      <c r="L82" s="10"/>
      <c r="M82" s="10"/>
      <c r="N82" s="10"/>
      <c r="O82" s="10"/>
      <c r="P82" s="10"/>
      <c r="Q82" s="10"/>
      <c r="R82" s="10"/>
      <c r="S82" s="10"/>
      <c r="T82" s="10"/>
      <c r="U82" s="10"/>
    </row>
    <row r="83" spans="1:22" x14ac:dyDescent="0.3">
      <c r="A83" s="14">
        <v>72</v>
      </c>
      <c r="B83">
        <v>142.30000000000001</v>
      </c>
      <c r="C83">
        <v>182.1</v>
      </c>
      <c r="D83">
        <v>169.3</v>
      </c>
      <c r="E83">
        <v>162.1</v>
      </c>
      <c r="F83">
        <f t="shared" ref="F83:F90" si="10">$F$81</f>
        <v>177.04399999999998</v>
      </c>
      <c r="K83" s="10"/>
      <c r="L83" s="10"/>
      <c r="M83" s="10"/>
      <c r="N83" s="10"/>
      <c r="O83" s="10"/>
      <c r="P83" s="10"/>
      <c r="Q83" s="10"/>
      <c r="R83" s="10"/>
      <c r="S83" s="10"/>
      <c r="T83" s="10"/>
      <c r="U83" s="10"/>
    </row>
    <row r="84" spans="1:22" x14ac:dyDescent="0.3">
      <c r="A84" s="14">
        <v>73</v>
      </c>
      <c r="B84">
        <v>122</v>
      </c>
      <c r="C84">
        <v>182.1</v>
      </c>
      <c r="D84">
        <v>149</v>
      </c>
      <c r="E84">
        <v>162.1</v>
      </c>
      <c r="F84">
        <f t="shared" si="10"/>
        <v>177.04399999999998</v>
      </c>
      <c r="K84" s="10"/>
      <c r="L84" s="10"/>
      <c r="M84" s="10"/>
      <c r="N84" s="10"/>
      <c r="O84" s="10"/>
      <c r="P84" s="10"/>
      <c r="Q84" s="10"/>
      <c r="R84" s="10"/>
      <c r="S84" s="10"/>
      <c r="T84" s="10"/>
      <c r="U84" s="10"/>
    </row>
    <row r="85" spans="1:22" x14ac:dyDescent="0.3">
      <c r="A85" s="14">
        <v>74</v>
      </c>
      <c r="B85">
        <v>101.6</v>
      </c>
      <c r="C85">
        <v>182.1</v>
      </c>
      <c r="D85">
        <v>128.6</v>
      </c>
      <c r="E85">
        <v>162.1</v>
      </c>
      <c r="F85">
        <f t="shared" si="10"/>
        <v>177.04399999999998</v>
      </c>
      <c r="K85" s="10"/>
      <c r="L85" s="10"/>
      <c r="M85" s="10"/>
      <c r="N85" s="10"/>
      <c r="O85" s="10"/>
      <c r="P85" s="10"/>
      <c r="Q85" s="10"/>
      <c r="R85" s="10"/>
      <c r="S85" s="10"/>
      <c r="T85" s="10"/>
      <c r="U85" s="10"/>
    </row>
    <row r="86" spans="1:22" x14ac:dyDescent="0.3">
      <c r="A86" s="14">
        <v>75</v>
      </c>
      <c r="B86">
        <v>81.3</v>
      </c>
      <c r="C86">
        <v>182.1</v>
      </c>
      <c r="D86">
        <v>108.3</v>
      </c>
      <c r="E86">
        <v>162.1</v>
      </c>
      <c r="F86">
        <f t="shared" si="10"/>
        <v>177.04399999999998</v>
      </c>
      <c r="K86" s="10"/>
      <c r="L86" s="10"/>
      <c r="M86" s="10"/>
      <c r="N86" s="10"/>
      <c r="O86" s="10"/>
      <c r="P86" s="10"/>
      <c r="Q86" s="10"/>
      <c r="R86" s="10"/>
      <c r="S86" s="10"/>
      <c r="T86" s="10"/>
      <c r="U86" s="10"/>
    </row>
    <row r="87" spans="1:22" x14ac:dyDescent="0.3">
      <c r="A87" s="14">
        <v>76</v>
      </c>
      <c r="B87">
        <v>61</v>
      </c>
      <c r="C87">
        <v>182.1</v>
      </c>
      <c r="D87">
        <v>88</v>
      </c>
      <c r="E87">
        <v>162.1</v>
      </c>
      <c r="F87">
        <f t="shared" si="10"/>
        <v>177.04399999999998</v>
      </c>
      <c r="K87" s="10"/>
      <c r="L87" s="10"/>
      <c r="M87" s="10"/>
      <c r="N87" s="10"/>
      <c r="O87" s="10"/>
      <c r="P87" s="10"/>
      <c r="Q87" s="10"/>
      <c r="R87" s="10"/>
      <c r="S87" s="10"/>
      <c r="T87" s="10"/>
      <c r="U87" s="10"/>
    </row>
    <row r="88" spans="1:22" x14ac:dyDescent="0.3">
      <c r="A88" s="14">
        <v>77</v>
      </c>
      <c r="B88">
        <v>40.700000000000003</v>
      </c>
      <c r="C88">
        <v>182.1</v>
      </c>
      <c r="D88">
        <v>67.7</v>
      </c>
      <c r="E88">
        <v>162.1</v>
      </c>
      <c r="F88">
        <f t="shared" si="10"/>
        <v>177.04399999999998</v>
      </c>
      <c r="K88" s="10"/>
      <c r="L88" s="10"/>
      <c r="M88" s="10"/>
      <c r="N88" s="10"/>
      <c r="O88" s="10"/>
      <c r="P88" s="10"/>
      <c r="Q88" s="10"/>
      <c r="R88" s="10"/>
      <c r="S88" s="10"/>
      <c r="T88" s="10"/>
      <c r="U88" s="10"/>
    </row>
    <row r="89" spans="1:22" x14ac:dyDescent="0.3">
      <c r="A89" s="14">
        <v>78</v>
      </c>
      <c r="B89">
        <v>20.3</v>
      </c>
      <c r="C89">
        <v>182.1</v>
      </c>
      <c r="D89">
        <v>47.3</v>
      </c>
      <c r="E89">
        <v>162.1</v>
      </c>
      <c r="F89">
        <f t="shared" si="10"/>
        <v>177.04399999999998</v>
      </c>
      <c r="K89" s="10"/>
      <c r="L89" s="10"/>
      <c r="M89" s="10"/>
      <c r="N89" s="10"/>
      <c r="O89" s="10"/>
      <c r="P89" s="10"/>
      <c r="Q89" s="10"/>
      <c r="R89" s="10"/>
      <c r="S89" s="10"/>
      <c r="T89" s="10"/>
      <c r="U89" s="10"/>
    </row>
    <row r="90" spans="1:22" x14ac:dyDescent="0.3">
      <c r="A90" s="14">
        <v>79</v>
      </c>
      <c r="B90">
        <v>0</v>
      </c>
      <c r="C90">
        <v>182.1</v>
      </c>
      <c r="D90">
        <v>27</v>
      </c>
      <c r="E90">
        <v>162.1</v>
      </c>
      <c r="F90">
        <f t="shared" si="10"/>
        <v>177.04399999999998</v>
      </c>
      <c r="V90" s="10"/>
    </row>
    <row r="91" spans="1:22" x14ac:dyDescent="0.3">
      <c r="A91" s="14">
        <v>80</v>
      </c>
      <c r="B91">
        <v>0</v>
      </c>
      <c r="C91">
        <v>203.5</v>
      </c>
      <c r="D91">
        <v>27</v>
      </c>
      <c r="E91">
        <v>183.5</v>
      </c>
      <c r="F91">
        <f>C90+$H$12-5</f>
        <v>198.54399999999998</v>
      </c>
      <c r="V91" s="10"/>
    </row>
    <row r="92" spans="1:22" x14ac:dyDescent="0.3">
      <c r="A92" s="14">
        <v>81</v>
      </c>
      <c r="B92">
        <v>20.3</v>
      </c>
      <c r="C92">
        <v>203.5</v>
      </c>
      <c r="D92">
        <v>47.3</v>
      </c>
      <c r="E92">
        <v>183.5</v>
      </c>
      <c r="F92">
        <f>$F$91</f>
        <v>198.54399999999998</v>
      </c>
      <c r="V92" s="10"/>
    </row>
    <row r="93" spans="1:22" x14ac:dyDescent="0.3">
      <c r="A93" s="14">
        <v>82</v>
      </c>
      <c r="B93">
        <v>40.700000000000003</v>
      </c>
      <c r="C93">
        <v>203.5</v>
      </c>
      <c r="D93">
        <v>67.7</v>
      </c>
      <c r="E93">
        <v>183.5</v>
      </c>
      <c r="F93">
        <f t="shared" ref="F93:F100" si="11">$F$91</f>
        <v>198.54399999999998</v>
      </c>
      <c r="V93" s="10"/>
    </row>
    <row r="94" spans="1:22" x14ac:dyDescent="0.3">
      <c r="A94" s="14">
        <v>83</v>
      </c>
      <c r="B94">
        <v>61</v>
      </c>
      <c r="C94">
        <v>203.5</v>
      </c>
      <c r="D94">
        <v>88</v>
      </c>
      <c r="E94">
        <v>183.5</v>
      </c>
      <c r="F94">
        <f t="shared" si="11"/>
        <v>198.54399999999998</v>
      </c>
      <c r="V94" s="10"/>
    </row>
    <row r="95" spans="1:22" x14ac:dyDescent="0.3">
      <c r="A95" s="14">
        <v>84</v>
      </c>
      <c r="B95">
        <v>81.3</v>
      </c>
      <c r="C95">
        <v>203.5</v>
      </c>
      <c r="D95">
        <v>108.3</v>
      </c>
      <c r="E95">
        <v>183.5</v>
      </c>
      <c r="F95">
        <f t="shared" si="11"/>
        <v>198.54399999999998</v>
      </c>
      <c r="V95" s="10"/>
    </row>
    <row r="96" spans="1:22" x14ac:dyDescent="0.3">
      <c r="A96" s="14">
        <v>85</v>
      </c>
      <c r="B96">
        <v>101.6</v>
      </c>
      <c r="C96">
        <v>203.5</v>
      </c>
      <c r="D96">
        <v>128.6</v>
      </c>
      <c r="E96">
        <v>183.5</v>
      </c>
      <c r="F96">
        <f t="shared" si="11"/>
        <v>198.54399999999998</v>
      </c>
      <c r="U96" s="10"/>
      <c r="V96" s="10"/>
    </row>
    <row r="97" spans="1:22" x14ac:dyDescent="0.3">
      <c r="A97" s="14">
        <v>86</v>
      </c>
      <c r="B97">
        <v>122</v>
      </c>
      <c r="C97">
        <v>203.5</v>
      </c>
      <c r="D97">
        <v>149</v>
      </c>
      <c r="E97">
        <v>183.5</v>
      </c>
      <c r="F97">
        <f t="shared" si="11"/>
        <v>198.54399999999998</v>
      </c>
      <c r="U97" s="10"/>
      <c r="V97" s="10"/>
    </row>
    <row r="98" spans="1:22" x14ac:dyDescent="0.3">
      <c r="A98" s="14">
        <v>87</v>
      </c>
      <c r="B98">
        <v>142.30000000000001</v>
      </c>
      <c r="C98">
        <v>203.5</v>
      </c>
      <c r="D98">
        <v>169.3</v>
      </c>
      <c r="E98">
        <v>183.5</v>
      </c>
      <c r="F98">
        <f t="shared" si="11"/>
        <v>198.54399999999998</v>
      </c>
      <c r="U98" s="10"/>
      <c r="V98" s="10"/>
    </row>
    <row r="99" spans="1:22" x14ac:dyDescent="0.3">
      <c r="A99" s="14">
        <v>88</v>
      </c>
      <c r="B99">
        <v>162.6</v>
      </c>
      <c r="C99">
        <v>203.5</v>
      </c>
      <c r="D99">
        <v>189.6</v>
      </c>
      <c r="E99">
        <v>183.5</v>
      </c>
      <c r="F99">
        <f t="shared" si="11"/>
        <v>198.54399999999998</v>
      </c>
      <c r="U99" s="10"/>
      <c r="V99" s="10"/>
    </row>
    <row r="100" spans="1:22" x14ac:dyDescent="0.3">
      <c r="A100" s="14">
        <v>89</v>
      </c>
      <c r="B100">
        <v>183</v>
      </c>
      <c r="C100">
        <v>203.5</v>
      </c>
      <c r="D100">
        <v>210</v>
      </c>
      <c r="E100">
        <v>183.5</v>
      </c>
      <c r="F100">
        <f t="shared" si="11"/>
        <v>198.54399999999998</v>
      </c>
      <c r="U100" s="10"/>
      <c r="V100" s="10"/>
    </row>
    <row r="101" spans="1:22" x14ac:dyDescent="0.3">
      <c r="A101" s="14">
        <v>90</v>
      </c>
      <c r="B101">
        <v>183</v>
      </c>
      <c r="C101">
        <v>225</v>
      </c>
      <c r="D101">
        <v>210</v>
      </c>
      <c r="E101">
        <v>205</v>
      </c>
      <c r="F101">
        <f>C100+$H$12-5</f>
        <v>219.94399999999999</v>
      </c>
      <c r="L101" s="10"/>
      <c r="M101" s="10"/>
      <c r="N101" s="10"/>
      <c r="O101" s="10"/>
      <c r="P101" s="10"/>
      <c r="Q101" s="10"/>
      <c r="R101" s="10"/>
      <c r="S101" s="10"/>
      <c r="T101" s="10"/>
      <c r="U101" s="10"/>
      <c r="V101" s="10"/>
    </row>
    <row r="102" spans="1:22" x14ac:dyDescent="0.3">
      <c r="A102" s="14">
        <v>91</v>
      </c>
      <c r="B102">
        <v>162.6</v>
      </c>
      <c r="C102">
        <v>225</v>
      </c>
      <c r="D102">
        <v>189.6</v>
      </c>
      <c r="E102">
        <v>205</v>
      </c>
      <c r="F102">
        <f>$F$101</f>
        <v>219.94399999999999</v>
      </c>
      <c r="L102" s="10"/>
      <c r="M102" s="10"/>
      <c r="N102" s="10"/>
      <c r="O102" s="10"/>
      <c r="P102" s="10"/>
      <c r="Q102" s="10"/>
      <c r="R102" s="10"/>
      <c r="S102" s="10"/>
      <c r="T102" s="10"/>
      <c r="U102" s="10"/>
      <c r="V102" s="10"/>
    </row>
    <row r="103" spans="1:22" x14ac:dyDescent="0.3">
      <c r="A103" s="14">
        <v>92</v>
      </c>
      <c r="B103">
        <v>142.30000000000001</v>
      </c>
      <c r="C103">
        <v>225</v>
      </c>
      <c r="D103">
        <v>169.3</v>
      </c>
      <c r="E103">
        <v>205</v>
      </c>
      <c r="F103">
        <f t="shared" ref="F103:F110" si="12">$F$101</f>
        <v>219.94399999999999</v>
      </c>
      <c r="L103" s="10"/>
      <c r="M103" s="10"/>
      <c r="N103" s="10"/>
      <c r="O103" s="10"/>
      <c r="P103" s="10"/>
      <c r="Q103" s="10"/>
      <c r="R103" s="10"/>
      <c r="S103" s="10"/>
      <c r="T103" s="10"/>
      <c r="U103" s="10"/>
      <c r="V103" s="10"/>
    </row>
    <row r="104" spans="1:22" x14ac:dyDescent="0.3">
      <c r="A104" s="14">
        <v>93</v>
      </c>
      <c r="B104">
        <v>122</v>
      </c>
      <c r="C104">
        <v>225</v>
      </c>
      <c r="D104">
        <v>149</v>
      </c>
      <c r="E104">
        <v>205</v>
      </c>
      <c r="F104">
        <f t="shared" si="12"/>
        <v>219.94399999999999</v>
      </c>
      <c r="L104" s="10"/>
      <c r="M104" s="10"/>
      <c r="N104" s="10"/>
      <c r="O104" s="10"/>
      <c r="P104" s="10"/>
      <c r="Q104" s="10"/>
      <c r="R104" s="10"/>
      <c r="S104" s="10"/>
      <c r="T104" s="10"/>
      <c r="U104" s="10"/>
      <c r="V104" s="10"/>
    </row>
    <row r="105" spans="1:22" x14ac:dyDescent="0.3">
      <c r="A105" s="14">
        <v>94</v>
      </c>
      <c r="B105">
        <v>101.6</v>
      </c>
      <c r="C105">
        <v>225</v>
      </c>
      <c r="D105">
        <v>128.6</v>
      </c>
      <c r="E105">
        <v>205</v>
      </c>
      <c r="F105">
        <f t="shared" si="12"/>
        <v>219.94399999999999</v>
      </c>
      <c r="L105" s="10"/>
      <c r="M105" s="10"/>
      <c r="N105" s="10"/>
      <c r="O105" s="10"/>
      <c r="P105" s="10"/>
      <c r="Q105" s="10"/>
      <c r="R105" s="10"/>
      <c r="S105" s="10"/>
      <c r="T105" s="10"/>
      <c r="U105" s="10"/>
      <c r="V105" s="10"/>
    </row>
    <row r="106" spans="1:22" x14ac:dyDescent="0.3">
      <c r="A106" s="14">
        <v>95</v>
      </c>
      <c r="B106">
        <v>81.3</v>
      </c>
      <c r="C106">
        <v>225</v>
      </c>
      <c r="D106">
        <v>108.3</v>
      </c>
      <c r="E106">
        <v>205</v>
      </c>
      <c r="F106">
        <f t="shared" si="12"/>
        <v>219.94399999999999</v>
      </c>
      <c r="L106" s="10"/>
      <c r="M106" s="10"/>
      <c r="N106" s="10"/>
      <c r="O106" s="10"/>
      <c r="P106" s="10"/>
      <c r="Q106" s="10"/>
      <c r="R106" s="10"/>
      <c r="S106" s="10"/>
      <c r="T106" s="10"/>
      <c r="U106" s="10"/>
      <c r="V106" s="10"/>
    </row>
    <row r="107" spans="1:22" x14ac:dyDescent="0.3">
      <c r="A107" s="14">
        <v>96</v>
      </c>
      <c r="B107">
        <v>61</v>
      </c>
      <c r="C107">
        <v>225</v>
      </c>
      <c r="D107">
        <v>88</v>
      </c>
      <c r="E107">
        <v>205</v>
      </c>
      <c r="F107">
        <f t="shared" si="12"/>
        <v>219.94399999999999</v>
      </c>
      <c r="K107" s="10"/>
      <c r="L107" s="10"/>
      <c r="M107" s="10"/>
      <c r="N107" s="10"/>
      <c r="O107" s="10"/>
      <c r="P107" s="10"/>
      <c r="Q107" s="10"/>
      <c r="R107" s="10"/>
      <c r="S107" s="10"/>
      <c r="T107" s="10"/>
      <c r="U107" s="10"/>
      <c r="V107" s="10"/>
    </row>
    <row r="108" spans="1:22" x14ac:dyDescent="0.3">
      <c r="A108" s="14">
        <v>97</v>
      </c>
      <c r="B108">
        <v>40.700000000000003</v>
      </c>
      <c r="C108">
        <v>225</v>
      </c>
      <c r="D108">
        <v>67.7</v>
      </c>
      <c r="E108">
        <v>205</v>
      </c>
      <c r="F108">
        <f t="shared" si="12"/>
        <v>219.94399999999999</v>
      </c>
      <c r="K108" s="10"/>
      <c r="L108" s="10"/>
      <c r="M108" s="10"/>
      <c r="N108" s="10"/>
      <c r="O108" s="10"/>
      <c r="P108" s="10"/>
      <c r="Q108" s="10"/>
      <c r="R108" s="10"/>
      <c r="S108" s="10"/>
      <c r="T108" s="10"/>
      <c r="U108" s="10"/>
      <c r="V108" s="10"/>
    </row>
    <row r="109" spans="1:22" x14ac:dyDescent="0.3">
      <c r="A109" s="14">
        <v>98</v>
      </c>
      <c r="B109">
        <v>20.3</v>
      </c>
      <c r="C109">
        <v>225</v>
      </c>
      <c r="D109">
        <v>47.3</v>
      </c>
      <c r="E109">
        <v>205</v>
      </c>
      <c r="F109">
        <f t="shared" si="12"/>
        <v>219.94399999999999</v>
      </c>
      <c r="K109" s="10"/>
      <c r="L109" s="10"/>
      <c r="M109" s="10"/>
      <c r="N109" s="10"/>
      <c r="O109" s="10"/>
      <c r="P109" s="10"/>
      <c r="Q109" s="10"/>
      <c r="R109" s="10"/>
      <c r="S109" s="10"/>
      <c r="T109" s="10"/>
      <c r="U109" s="10"/>
      <c r="V109" s="10"/>
    </row>
    <row r="110" spans="1:22" x14ac:dyDescent="0.3">
      <c r="A110" s="14">
        <v>99</v>
      </c>
      <c r="B110">
        <v>0</v>
      </c>
      <c r="C110">
        <v>225</v>
      </c>
      <c r="D110">
        <v>27</v>
      </c>
      <c r="E110">
        <v>205</v>
      </c>
      <c r="F110">
        <f t="shared" si="12"/>
        <v>219.94399999999999</v>
      </c>
      <c r="K110" s="10"/>
      <c r="L110" s="10"/>
      <c r="M110" s="10"/>
      <c r="N110" s="10"/>
      <c r="O110" s="10"/>
      <c r="P110" s="10"/>
      <c r="Q110" s="10"/>
      <c r="R110" s="10"/>
      <c r="S110" s="10"/>
      <c r="T110" s="10"/>
      <c r="U110" s="10"/>
      <c r="V110" s="10"/>
    </row>
    <row r="111" spans="1:22" x14ac:dyDescent="0.3">
      <c r="F111" s="18"/>
      <c r="G111" s="18"/>
      <c r="K111" s="10"/>
      <c r="L111" s="10"/>
      <c r="M111" s="10"/>
      <c r="N111" s="10"/>
      <c r="O111" s="10"/>
      <c r="P111" s="10"/>
      <c r="Q111" s="10"/>
      <c r="R111" s="10"/>
      <c r="S111" s="10"/>
      <c r="T111" s="10"/>
      <c r="U111" s="10"/>
      <c r="V111" s="10"/>
    </row>
    <row r="112" spans="1:22" x14ac:dyDescent="0.3">
      <c r="K112" s="10"/>
      <c r="L112" s="10"/>
      <c r="M112" s="10"/>
      <c r="N112" s="10"/>
      <c r="O112" s="10"/>
      <c r="P112" s="10"/>
      <c r="Q112" s="10"/>
      <c r="R112" s="10"/>
      <c r="S112" s="10"/>
      <c r="T112" s="10"/>
      <c r="U112" s="10"/>
      <c r="V112" s="10"/>
    </row>
    <row r="113" spans="11:22" x14ac:dyDescent="0.3">
      <c r="K113" s="10"/>
      <c r="L113" s="10"/>
      <c r="M113" s="10"/>
      <c r="N113" s="10"/>
      <c r="O113" s="10"/>
      <c r="P113" s="10"/>
      <c r="Q113" s="10"/>
      <c r="R113" s="10"/>
      <c r="S113" s="10"/>
      <c r="T113" s="10"/>
      <c r="U113" s="10"/>
      <c r="V113" s="10"/>
    </row>
    <row r="114" spans="11:22" x14ac:dyDescent="0.3">
      <c r="K114" s="10"/>
      <c r="L114" s="10"/>
      <c r="M114" s="10"/>
      <c r="N114" s="10"/>
      <c r="O114" s="10"/>
      <c r="P114" s="10"/>
      <c r="Q114" s="10"/>
      <c r="R114" s="10"/>
      <c r="S114" s="10"/>
      <c r="T114" s="10"/>
      <c r="U114" s="10"/>
      <c r="V114" s="10"/>
    </row>
  </sheetData>
  <sortState xmlns:xlrd2="http://schemas.microsoft.com/office/spreadsheetml/2017/richdata2" ref="A11:E110">
    <sortCondition ref="A11:A110"/>
  </sortState>
  <conditionalFormatting sqref="Z33">
    <cfRule type="colorScale" priority="1">
      <colorScale>
        <cfvo type="num" val="-0.1"/>
        <cfvo type="num" val="0"/>
        <cfvo type="num" val="0.1"/>
        <color rgb="FF00B0F0"/>
        <color theme="0"/>
        <color rgb="FFFF0000"/>
      </colorScale>
    </cfRule>
  </conditionalFormatting>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15F32-0C58-41BD-ABB5-65A1B86958E0}">
  <sheetPr codeName="Sheet2"/>
  <dimension ref="A22:S366"/>
  <sheetViews>
    <sheetView topLeftCell="A112" zoomScaleNormal="100" workbookViewId="0">
      <selection activeCell="N124" sqref="N124"/>
    </sheetView>
  </sheetViews>
  <sheetFormatPr defaultRowHeight="14.4" x14ac:dyDescent="0.3"/>
  <cols>
    <col min="1" max="1" width="30.88671875" customWidth="1"/>
    <col min="2" max="2" width="10.6640625" customWidth="1"/>
    <col min="3" max="3" width="12.5546875" customWidth="1"/>
    <col min="4" max="4" width="17.88671875" customWidth="1"/>
    <col min="5" max="5" width="9.88671875" customWidth="1"/>
    <col min="6" max="6" width="11.88671875" customWidth="1"/>
    <col min="7" max="7" width="12.5546875" customWidth="1"/>
    <col min="8" max="8" width="10.77734375" customWidth="1"/>
    <col min="9" max="9" width="11.88671875" customWidth="1"/>
    <col min="10" max="10" width="18.6640625" customWidth="1"/>
    <col min="11" max="11" width="11.88671875" customWidth="1"/>
    <col min="12" max="12" width="13.6640625" bestFit="1" customWidth="1"/>
    <col min="13" max="13" width="14.88671875" customWidth="1"/>
    <col min="14" max="14" width="16.33203125" customWidth="1"/>
    <col min="15" max="15" width="19.109375" customWidth="1"/>
    <col min="16" max="16" width="13.6640625" bestFit="1" customWidth="1"/>
  </cols>
  <sheetData>
    <row r="22" spans="1:11" x14ac:dyDescent="0.3">
      <c r="A22" t="s">
        <v>248</v>
      </c>
    </row>
    <row r="23" spans="1:11" x14ac:dyDescent="0.3">
      <c r="C23" t="s">
        <v>2</v>
      </c>
      <c r="D23" t="s">
        <v>3</v>
      </c>
    </row>
    <row r="24" spans="1:11" x14ac:dyDescent="0.3">
      <c r="B24" t="s">
        <v>1</v>
      </c>
      <c r="C24" s="6">
        <f>K26-B26</f>
        <v>183</v>
      </c>
      <c r="D24">
        <f>C24/9</f>
        <v>20.333333333333332</v>
      </c>
    </row>
    <row r="25" spans="1:11" x14ac:dyDescent="0.3">
      <c r="A25" t="s">
        <v>5</v>
      </c>
      <c r="B25" t="s">
        <v>0</v>
      </c>
      <c r="C25" s="6">
        <f>A36-A27</f>
        <v>193</v>
      </c>
      <c r="D25">
        <f>C25/9</f>
        <v>21.444444444444443</v>
      </c>
      <c r="F25" t="s">
        <v>4</v>
      </c>
    </row>
    <row r="26" spans="1:11" x14ac:dyDescent="0.3">
      <c r="B26" s="5">
        <v>27</v>
      </c>
      <c r="C26" s="5">
        <f t="shared" ref="C26:J26" si="0">B26+$D$24</f>
        <v>47.333333333333329</v>
      </c>
      <c r="D26" s="5">
        <f t="shared" si="0"/>
        <v>67.666666666666657</v>
      </c>
      <c r="E26" s="5">
        <f t="shared" si="0"/>
        <v>87.999999999999986</v>
      </c>
      <c r="F26" s="5">
        <f t="shared" si="0"/>
        <v>108.33333333333331</v>
      </c>
      <c r="G26" s="5">
        <f t="shared" si="0"/>
        <v>128.66666666666666</v>
      </c>
      <c r="H26" s="5">
        <f t="shared" si="0"/>
        <v>149</v>
      </c>
      <c r="I26" s="5">
        <f t="shared" si="0"/>
        <v>169.33333333333334</v>
      </c>
      <c r="J26" s="5">
        <f t="shared" si="0"/>
        <v>189.66666666666669</v>
      </c>
      <c r="K26" s="5">
        <v>210</v>
      </c>
    </row>
    <row r="27" spans="1:11" x14ac:dyDescent="0.3">
      <c r="A27" s="5">
        <v>12</v>
      </c>
      <c r="B27">
        <v>2.3E-2</v>
      </c>
      <c r="C27">
        <v>-5.6000000000000001E-2</v>
      </c>
      <c r="D27">
        <v>-0.06</v>
      </c>
      <c r="E27">
        <v>-5.8500000000000003E-2</v>
      </c>
      <c r="F27">
        <v>-7.5249999999999997E-2</v>
      </c>
      <c r="G27">
        <v>-8.8999999999999996E-2</v>
      </c>
      <c r="H27">
        <v>-9.7000000000000003E-2</v>
      </c>
      <c r="I27">
        <v>-9.5250000000000001E-2</v>
      </c>
      <c r="J27">
        <v>-0.10249999999999999</v>
      </c>
      <c r="K27">
        <v>-0.10825</v>
      </c>
    </row>
    <row r="28" spans="1:11" x14ac:dyDescent="0.3">
      <c r="A28" s="5">
        <f t="shared" ref="A28:A35" si="1">A27+$D$25</f>
        <v>33.444444444444443</v>
      </c>
      <c r="B28">
        <v>6.4000000000000001E-2</v>
      </c>
      <c r="C28">
        <v>-1.2E-2</v>
      </c>
      <c r="D28">
        <v>-3.7499999999999999E-3</v>
      </c>
      <c r="E28">
        <v>-1.2500000000000001E-2</v>
      </c>
      <c r="F28">
        <v>-2.4500000000000001E-2</v>
      </c>
      <c r="G28">
        <v>-3.5000000000000003E-2</v>
      </c>
      <c r="H28">
        <v>-4.4749999999999998E-2</v>
      </c>
      <c r="I28">
        <v>-5.3749999999999999E-2</v>
      </c>
      <c r="J28">
        <v>-6.3250000000000001E-2</v>
      </c>
      <c r="K28">
        <v>-7.2749999999999995E-2</v>
      </c>
    </row>
    <row r="29" spans="1:11" x14ac:dyDescent="0.3">
      <c r="A29" s="5">
        <f t="shared" si="1"/>
        <v>54.888888888888886</v>
      </c>
      <c r="B29">
        <v>5.9499999999999997E-2</v>
      </c>
      <c r="C29">
        <v>-5.7499999999999999E-3</v>
      </c>
      <c r="D29">
        <v>-5.0000000000000001E-4</v>
      </c>
      <c r="E29">
        <v>-8.7500000000000008E-3</v>
      </c>
      <c r="F29">
        <v>-7.2500000000000004E-3</v>
      </c>
      <c r="G29">
        <v>-3.3250000000000002E-2</v>
      </c>
      <c r="H29">
        <v>-3.8249999999999999E-2</v>
      </c>
      <c r="I29">
        <v>-5.1249999999999997E-2</v>
      </c>
      <c r="J29">
        <v>-5.6500000000000002E-2</v>
      </c>
      <c r="K29">
        <v>-7.9500000000000001E-2</v>
      </c>
    </row>
    <row r="30" spans="1:11" x14ac:dyDescent="0.3">
      <c r="A30" s="5">
        <f t="shared" si="1"/>
        <v>76.333333333333329</v>
      </c>
      <c r="B30">
        <v>7.3999999999999996E-2</v>
      </c>
      <c r="C30">
        <v>9.7500000000000003E-2</v>
      </c>
      <c r="D30">
        <v>5.3249999999999999E-2</v>
      </c>
      <c r="E30">
        <v>9.35E-2</v>
      </c>
      <c r="F30">
        <v>3.85E-2</v>
      </c>
      <c r="G30">
        <v>5.8000000000000003E-2</v>
      </c>
      <c r="H30">
        <v>1.2749999999999999E-2</v>
      </c>
      <c r="I30">
        <v>2.6499999999999999E-2</v>
      </c>
      <c r="J30">
        <v>-3.0000000000000001E-3</v>
      </c>
      <c r="K30">
        <v>1E-3</v>
      </c>
    </row>
    <row r="31" spans="1:11" x14ac:dyDescent="0.3">
      <c r="A31" s="5">
        <f t="shared" si="1"/>
        <v>97.777777777777771</v>
      </c>
      <c r="B31">
        <v>8.0500000000000002E-2</v>
      </c>
      <c r="C31">
        <v>8.1500000000000003E-2</v>
      </c>
      <c r="D31">
        <v>5.1249999999999997E-2</v>
      </c>
      <c r="E31">
        <v>6.6750000000000004E-2</v>
      </c>
      <c r="F31">
        <v>2.35E-2</v>
      </c>
      <c r="G31">
        <v>4.3499999999999997E-2</v>
      </c>
      <c r="H31">
        <v>1.2500000000000001E-2</v>
      </c>
      <c r="I31">
        <v>3.3500000000000002E-2</v>
      </c>
      <c r="J31">
        <v>-1.6E-2</v>
      </c>
      <c r="K31">
        <v>8.2500000000000004E-3</v>
      </c>
    </row>
    <row r="32" spans="1:11" x14ac:dyDescent="0.3">
      <c r="A32" s="5">
        <f t="shared" si="1"/>
        <v>119.22222222222221</v>
      </c>
      <c r="B32">
        <v>9.6750000000000003E-2</v>
      </c>
      <c r="C32">
        <v>0.11125</v>
      </c>
      <c r="D32">
        <v>6.3E-2</v>
      </c>
      <c r="E32">
        <v>9.8500000000000004E-2</v>
      </c>
      <c r="F32">
        <v>4.1250000000000002E-2</v>
      </c>
      <c r="G32">
        <v>6.0249999999999998E-2</v>
      </c>
      <c r="H32">
        <v>1.575E-2</v>
      </c>
      <c r="I32">
        <v>4.5999999999999999E-2</v>
      </c>
      <c r="J32">
        <v>-1.0500000000000001E-2</v>
      </c>
      <c r="K32">
        <v>1.8749999999999999E-2</v>
      </c>
    </row>
    <row r="33" spans="1:15" x14ac:dyDescent="0.3">
      <c r="A33" s="5">
        <f t="shared" si="1"/>
        <v>140.66666666666666</v>
      </c>
      <c r="B33">
        <v>0.10050000000000001</v>
      </c>
      <c r="C33">
        <v>9.5500000000000002E-2</v>
      </c>
      <c r="D33">
        <v>7.1499999999999994E-2</v>
      </c>
      <c r="E33">
        <v>8.2250000000000004E-2</v>
      </c>
      <c r="F33">
        <v>4.5749999999999999E-2</v>
      </c>
      <c r="G33">
        <v>4.7E-2</v>
      </c>
      <c r="H33">
        <v>1.6500000000000001E-2</v>
      </c>
      <c r="I33">
        <v>2.4250000000000001E-2</v>
      </c>
      <c r="J33">
        <v>-1.4500000000000001E-2</v>
      </c>
      <c r="K33">
        <v>-9.4999999999999998E-3</v>
      </c>
    </row>
    <row r="34" spans="1:15" x14ac:dyDescent="0.3">
      <c r="A34" s="5">
        <f t="shared" si="1"/>
        <v>162.11111111111109</v>
      </c>
      <c r="B34">
        <v>7.0000000000000007E-2</v>
      </c>
      <c r="C34">
        <v>7.2999999999999995E-2</v>
      </c>
      <c r="D34">
        <v>4.4749999999999998E-2</v>
      </c>
      <c r="E34">
        <v>5.7250000000000002E-2</v>
      </c>
      <c r="F34">
        <v>1.8499999999999999E-2</v>
      </c>
      <c r="G34">
        <v>0.02</v>
      </c>
      <c r="H34">
        <v>-1.7500000000000002E-2</v>
      </c>
      <c r="I34">
        <v>-1.4E-2</v>
      </c>
      <c r="J34">
        <v>-5.45E-2</v>
      </c>
      <c r="K34">
        <v>-4.8500000000000001E-2</v>
      </c>
    </row>
    <row r="35" spans="1:15" x14ac:dyDescent="0.3">
      <c r="A35" s="5">
        <f t="shared" si="1"/>
        <v>183.55555555555554</v>
      </c>
      <c r="B35">
        <v>-7.0000000000000001E-3</v>
      </c>
      <c r="C35">
        <v>-7.2500000000000004E-3</v>
      </c>
      <c r="D35">
        <v>-4.0750000000000001E-2</v>
      </c>
      <c r="E35">
        <v>-3.4750000000000003E-2</v>
      </c>
      <c r="F35">
        <v>-7.9750000000000001E-2</v>
      </c>
      <c r="G35">
        <v>-7.3499999999999996E-2</v>
      </c>
      <c r="H35">
        <v>-0.115</v>
      </c>
      <c r="I35">
        <v>-0.10349999999999999</v>
      </c>
      <c r="J35">
        <v>-0.15175</v>
      </c>
      <c r="K35">
        <v>-0.13475000000000001</v>
      </c>
    </row>
    <row r="36" spans="1:15" x14ac:dyDescent="0.3">
      <c r="A36" s="5">
        <v>205</v>
      </c>
      <c r="B36">
        <v>-0.10174999999999999</v>
      </c>
      <c r="C36">
        <v>-0.13350000000000001</v>
      </c>
      <c r="D36">
        <v>-0.14699999999999999</v>
      </c>
      <c r="E36">
        <v>-0.16850000000000001</v>
      </c>
      <c r="F36">
        <v>-0.19375000000000001</v>
      </c>
      <c r="G36">
        <v>-0.214</v>
      </c>
      <c r="H36">
        <v>-0.23275000000000001</v>
      </c>
      <c r="I36">
        <v>-0.2485</v>
      </c>
      <c r="J36">
        <v>-0.26050000000000001</v>
      </c>
      <c r="K36">
        <v>-0.26750000000000002</v>
      </c>
    </row>
    <row r="38" spans="1:15" x14ac:dyDescent="0.3">
      <c r="B38" t="s">
        <v>6</v>
      </c>
      <c r="C38">
        <f>STDEV(B27:K36)</f>
        <v>8.540388222878087E-2</v>
      </c>
    </row>
    <row r="39" spans="1:15" x14ac:dyDescent="0.3">
      <c r="B39" t="s">
        <v>45</v>
      </c>
      <c r="C39">
        <f>VARP(B27:K36)</f>
        <v>7.2208848687499976E-3</v>
      </c>
    </row>
    <row r="40" spans="1:15" x14ac:dyDescent="0.3">
      <c r="O40" s="2"/>
    </row>
    <row r="41" spans="1:15" x14ac:dyDescent="0.3">
      <c r="A41" s="5"/>
    </row>
    <row r="43" spans="1:15" x14ac:dyDescent="0.3">
      <c r="A43" s="4" t="s">
        <v>247</v>
      </c>
    </row>
    <row r="44" spans="1:15" x14ac:dyDescent="0.3">
      <c r="A44" s="4" t="s">
        <v>57</v>
      </c>
      <c r="B44" s="4" t="s">
        <v>56</v>
      </c>
      <c r="C44" t="s">
        <v>54</v>
      </c>
    </row>
    <row r="45" spans="1:15" x14ac:dyDescent="0.3">
      <c r="A45" t="s">
        <v>40</v>
      </c>
      <c r="B45" t="s">
        <v>30</v>
      </c>
      <c r="C45" t="s">
        <v>39</v>
      </c>
      <c r="K45" t="s">
        <v>35</v>
      </c>
      <c r="L45" t="s">
        <v>44</v>
      </c>
      <c r="M45" t="s">
        <v>68</v>
      </c>
      <c r="N45" t="s">
        <v>46</v>
      </c>
    </row>
    <row r="46" spans="1:15" x14ac:dyDescent="0.3">
      <c r="A46" s="4"/>
      <c r="B46" s="5">
        <v>27</v>
      </c>
      <c r="C46" s="5">
        <v>47.333333333333329</v>
      </c>
      <c r="D46" s="5">
        <v>67.666666666666657</v>
      </c>
      <c r="E46" s="5">
        <v>87.999999999999986</v>
      </c>
      <c r="F46" s="5">
        <v>108.33333333333331</v>
      </c>
      <c r="G46" s="5">
        <v>128.66666666666666</v>
      </c>
      <c r="H46" s="5">
        <v>149</v>
      </c>
      <c r="I46" s="5">
        <v>169.33333333333334</v>
      </c>
      <c r="J46" s="5">
        <v>189.66666666666669</v>
      </c>
      <c r="K46" s="5">
        <v>210</v>
      </c>
    </row>
    <row r="47" spans="1:15" x14ac:dyDescent="0.3">
      <c r="A47" s="5">
        <v>12</v>
      </c>
      <c r="B47" s="10">
        <f>-0.035417</f>
        <v>-3.5416999999999997E-2</v>
      </c>
      <c r="C47" s="10">
        <v>-5.4167E-2</v>
      </c>
      <c r="D47" s="10">
        <v>-0.111667</v>
      </c>
      <c r="E47" s="10">
        <v>-0.1</v>
      </c>
      <c r="F47" s="10">
        <v>-0.129583</v>
      </c>
      <c r="G47" s="10">
        <v>-0.10875</v>
      </c>
      <c r="H47" s="10">
        <v>-0.11708300000000001</v>
      </c>
      <c r="I47" s="10">
        <v>-0.11125</v>
      </c>
      <c r="J47" s="10">
        <v>-0.104167</v>
      </c>
      <c r="K47" s="10">
        <v>-9.1666999999999998E-2</v>
      </c>
      <c r="L47">
        <f>SLOPE(B47:K47,$B$46:$K$46)</f>
        <v>-2.6366050670640826E-4</v>
      </c>
      <c r="M47">
        <f>L47*($K$46-$B$46)</f>
        <v>-4.8249872727272713E-2</v>
      </c>
      <c r="N47">
        <f t="shared" ref="N47:N56" si="2">AVERAGE(B47:K47)</f>
        <v>-9.6375100000000005E-2</v>
      </c>
    </row>
    <row r="48" spans="1:15" x14ac:dyDescent="0.3">
      <c r="A48" s="5">
        <v>33.444444444444443</v>
      </c>
      <c r="B48" s="10">
        <f>-0.039167</f>
        <v>-3.9167E-2</v>
      </c>
      <c r="C48" s="10">
        <v>-4.2083000000000002E-2</v>
      </c>
      <c r="D48" s="10">
        <v>-0.1</v>
      </c>
      <c r="E48" s="10">
        <v>-8.6249999999999993E-2</v>
      </c>
      <c r="F48" s="10">
        <v>-0.104167</v>
      </c>
      <c r="G48" s="10">
        <v>-9.375E-2</v>
      </c>
      <c r="H48" s="10">
        <v>-0.104167</v>
      </c>
      <c r="I48" s="10">
        <v>-9.0832999999999997E-2</v>
      </c>
      <c r="J48" s="10">
        <v>-8.0833000000000002E-2</v>
      </c>
      <c r="K48" s="10">
        <v>-9.0832999999999997E-2</v>
      </c>
      <c r="L48">
        <f t="shared" ref="L48:L56" si="3">SLOPE(B48:K48,$B$46:$K$46)</f>
        <v>-2.1870134128166907E-4</v>
      </c>
      <c r="M48">
        <f t="shared" ref="M48:M56" si="4">L48*($K$46-$B$46)</f>
        <v>-4.0022345454545437E-2</v>
      </c>
      <c r="N48">
        <f t="shared" si="2"/>
        <v>-8.3208300000000013E-2</v>
      </c>
    </row>
    <row r="49" spans="1:15" x14ac:dyDescent="0.3">
      <c r="A49" s="5">
        <v>54.888888888888886</v>
      </c>
      <c r="B49" s="10">
        <v>1.0833000000000001E-2</v>
      </c>
      <c r="C49" s="10">
        <v>1.2500000000000001E-2</v>
      </c>
      <c r="D49" s="10">
        <v>-4.5832999999999999E-2</v>
      </c>
      <c r="E49" s="10">
        <v>-4.4166999999999998E-2</v>
      </c>
      <c r="F49" s="10">
        <v>-7.6249999999999998E-2</v>
      </c>
      <c r="G49" s="10">
        <v>-6.3333E-2</v>
      </c>
      <c r="H49" s="10">
        <v>-8.5417000000000007E-2</v>
      </c>
      <c r="I49" s="10">
        <v>-7.2916999999999996E-2</v>
      </c>
      <c r="J49" s="10">
        <v>-7.4582999999999997E-2</v>
      </c>
      <c r="K49" s="10">
        <v>-4.0417000000000002E-2</v>
      </c>
      <c r="L49">
        <f t="shared" si="3"/>
        <v>-3.9257347242921013E-4</v>
      </c>
      <c r="M49">
        <f t="shared" si="4"/>
        <v>-7.184094545454546E-2</v>
      </c>
      <c r="N49">
        <f t="shared" si="2"/>
        <v>-4.7958399999999998E-2</v>
      </c>
    </row>
    <row r="50" spans="1:15" x14ac:dyDescent="0.3">
      <c r="A50" s="5">
        <v>76.333333333333329</v>
      </c>
      <c r="B50" s="10">
        <v>1.9583E-2</v>
      </c>
      <c r="C50" s="10">
        <v>9.5829999999999995E-3</v>
      </c>
      <c r="D50" s="10">
        <v>-2.7917000000000001E-2</v>
      </c>
      <c r="E50" s="10">
        <v>-1.7916999999999999E-2</v>
      </c>
      <c r="F50" s="10">
        <v>-5.5417000000000001E-2</v>
      </c>
      <c r="G50" s="10">
        <v>-4.5416999999999999E-2</v>
      </c>
      <c r="H50" s="10">
        <v>-7.0000000000000007E-2</v>
      </c>
      <c r="I50" s="10">
        <v>-5.9582999999999997E-2</v>
      </c>
      <c r="J50" s="10">
        <v>-6.8333000000000005E-2</v>
      </c>
      <c r="K50" s="10">
        <v>-1.7916999999999999E-2</v>
      </c>
      <c r="L50">
        <f t="shared" si="3"/>
        <v>-3.5394664679582708E-4</v>
      </c>
      <c r="M50">
        <f t="shared" si="4"/>
        <v>-6.4772236363636354E-2</v>
      </c>
      <c r="N50">
        <f t="shared" si="2"/>
        <v>-3.3333500000000002E-2</v>
      </c>
    </row>
    <row r="51" spans="1:15" x14ac:dyDescent="0.3">
      <c r="A51" s="5">
        <v>97.777777777777771</v>
      </c>
      <c r="B51" s="10">
        <v>3.5832999999999997E-2</v>
      </c>
      <c r="C51" s="10">
        <v>3.0832999999999999E-2</v>
      </c>
      <c r="D51" s="10">
        <v>-5.0000000000000001E-3</v>
      </c>
      <c r="E51" s="10">
        <v>-8.3299999999999997E-4</v>
      </c>
      <c r="F51" s="10">
        <v>-4.6667E-2</v>
      </c>
      <c r="G51" s="10">
        <v>-4.1250000000000002E-2</v>
      </c>
      <c r="H51" s="10">
        <v>-7.1666999999999995E-2</v>
      </c>
      <c r="I51" s="10">
        <v>-6.2082999999999999E-2</v>
      </c>
      <c r="J51" s="10">
        <v>-6.7083000000000004E-2</v>
      </c>
      <c r="K51" s="10">
        <v>-1.7916999999999999E-2</v>
      </c>
      <c r="L51">
        <f t="shared" si="3"/>
        <v>-4.9527928464977646E-4</v>
      </c>
      <c r="M51">
        <f t="shared" si="4"/>
        <v>-9.0636109090909092E-2</v>
      </c>
      <c r="N51">
        <f t="shared" si="2"/>
        <v>-2.4583399999999998E-2</v>
      </c>
    </row>
    <row r="52" spans="1:15" x14ac:dyDescent="0.3">
      <c r="A52" s="5">
        <v>119.22222222222221</v>
      </c>
      <c r="B52" s="10">
        <v>4.4582999999999998E-2</v>
      </c>
      <c r="C52" s="10">
        <v>3.0417E-2</v>
      </c>
      <c r="D52" s="10">
        <v>-7.4999999999999997E-3</v>
      </c>
      <c r="E52" s="10">
        <v>-6.6670000000000002E-3</v>
      </c>
      <c r="F52" s="10">
        <v>-6.0832999999999998E-2</v>
      </c>
      <c r="G52" s="10">
        <v>-5.3332999999999998E-2</v>
      </c>
      <c r="H52" s="10">
        <v>-7.2499999999999995E-2</v>
      </c>
      <c r="I52" s="10">
        <v>-6.6667000000000004E-2</v>
      </c>
      <c r="J52" s="10">
        <v>-5.8749999999999997E-2</v>
      </c>
      <c r="K52" s="10">
        <v>-1.4583E-2</v>
      </c>
      <c r="L52">
        <f t="shared" si="3"/>
        <v>-4.8956691505216087E-4</v>
      </c>
      <c r="M52">
        <f t="shared" si="4"/>
        <v>-8.9590745454545442E-2</v>
      </c>
      <c r="N52">
        <f t="shared" si="2"/>
        <v>-2.6583299999999997E-2</v>
      </c>
    </row>
    <row r="53" spans="1:15" x14ac:dyDescent="0.3">
      <c r="A53" s="5">
        <v>140.66666666666666</v>
      </c>
      <c r="B53" s="10">
        <v>3.875E-2</v>
      </c>
      <c r="C53" s="10">
        <v>3.1667000000000001E-2</v>
      </c>
      <c r="D53" s="10">
        <v>-6.6670000000000002E-3</v>
      </c>
      <c r="E53" s="10">
        <v>-1.6670000000000001E-3</v>
      </c>
      <c r="F53" s="10">
        <v>-4.2500000000000003E-2</v>
      </c>
      <c r="G53" s="10">
        <v>-4.1250000000000002E-2</v>
      </c>
      <c r="H53" s="10">
        <v>-6.7917000000000005E-2</v>
      </c>
      <c r="I53" s="10">
        <v>-6.9167000000000006E-2</v>
      </c>
      <c r="J53" s="10">
        <v>-6.6667000000000004E-2</v>
      </c>
      <c r="K53" s="10">
        <v>-2.5000000000000001E-2</v>
      </c>
      <c r="L53">
        <f t="shared" si="3"/>
        <v>-5.2819314456035765E-4</v>
      </c>
      <c r="M53">
        <f t="shared" si="4"/>
        <v>-9.6659345454545451E-2</v>
      </c>
      <c r="N53">
        <f t="shared" si="2"/>
        <v>-2.5041800000000003E-2</v>
      </c>
    </row>
    <row r="54" spans="1:15" x14ac:dyDescent="0.3">
      <c r="A54" s="5">
        <v>162.11111111111109</v>
      </c>
      <c r="B54" s="10">
        <v>3.3750000000000002E-2</v>
      </c>
      <c r="C54" s="10">
        <v>1.7500000000000002E-2</v>
      </c>
      <c r="D54" s="10">
        <v>-2.2499999999999999E-2</v>
      </c>
      <c r="E54" s="10">
        <v>-5.4169999999999999E-3</v>
      </c>
      <c r="F54" s="10">
        <v>-4.2083000000000002E-2</v>
      </c>
      <c r="G54" s="10">
        <v>-4.2500000000000003E-2</v>
      </c>
      <c r="H54" s="10">
        <v>-7.6249999999999998E-2</v>
      </c>
      <c r="I54" s="10">
        <v>-7.5832999999999998E-2</v>
      </c>
      <c r="J54" s="10">
        <v>-6.8333000000000005E-2</v>
      </c>
      <c r="K54" s="10">
        <v>-3.0417E-2</v>
      </c>
      <c r="L54">
        <f t="shared" si="3"/>
        <v>-4.9416244411326366E-4</v>
      </c>
      <c r="M54">
        <f t="shared" si="4"/>
        <v>-9.0431727272727247E-2</v>
      </c>
      <c r="N54">
        <f t="shared" si="2"/>
        <v>-3.1208300000000001E-2</v>
      </c>
    </row>
    <row r="55" spans="1:15" x14ac:dyDescent="0.3">
      <c r="A55" s="5">
        <v>183.55555555555554</v>
      </c>
      <c r="B55" s="10">
        <v>8.3299999999999997E-4</v>
      </c>
      <c r="C55" s="10">
        <v>-7.4999999999999997E-3</v>
      </c>
      <c r="D55" s="10">
        <v>-3.875E-2</v>
      </c>
      <c r="E55" s="10">
        <v>-2.0417000000000001E-2</v>
      </c>
      <c r="F55" s="10">
        <v>-4.7500000000000001E-2</v>
      </c>
      <c r="G55" s="10">
        <v>-4.7083E-2</v>
      </c>
      <c r="H55" s="10">
        <v>-7.3332999999999995E-2</v>
      </c>
      <c r="I55" s="10">
        <v>-7.8750000000000001E-2</v>
      </c>
      <c r="J55" s="10">
        <v>-8.6249999999999993E-2</v>
      </c>
      <c r="K55" s="10">
        <v>-3.5832999999999997E-2</v>
      </c>
      <c r="L55">
        <f t="shared" si="3"/>
        <v>-3.694709388971684E-4</v>
      </c>
      <c r="M55">
        <f t="shared" si="4"/>
        <v>-6.7613181818181822E-2</v>
      </c>
      <c r="N55">
        <f t="shared" si="2"/>
        <v>-4.3458299999999998E-2</v>
      </c>
    </row>
    <row r="56" spans="1:15" x14ac:dyDescent="0.3">
      <c r="A56" s="5">
        <v>205</v>
      </c>
      <c r="B56" s="10">
        <v>1.5833E-2</v>
      </c>
      <c r="C56" s="10">
        <v>9.5829999999999995E-3</v>
      </c>
      <c r="D56" s="10">
        <v>-0.01</v>
      </c>
      <c r="E56" s="10">
        <v>1.2500000000000001E-2</v>
      </c>
      <c r="F56" s="10">
        <v>-3.7082999999999998E-2</v>
      </c>
      <c r="G56" s="10">
        <v>-0.04</v>
      </c>
      <c r="H56" s="10">
        <v>-6.5000000000000002E-2</v>
      </c>
      <c r="I56" s="10">
        <v>-7.7499999999999999E-2</v>
      </c>
      <c r="J56" s="10">
        <v>-8.4167000000000006E-2</v>
      </c>
      <c r="K56" s="10">
        <v>-2.6667E-2</v>
      </c>
      <c r="L56">
        <f t="shared" si="3"/>
        <v>-4.8037764530551425E-4</v>
      </c>
      <c r="M56">
        <f t="shared" si="4"/>
        <v>-8.7909109090909113E-2</v>
      </c>
      <c r="N56">
        <f t="shared" si="2"/>
        <v>-3.0250099999999995E-2</v>
      </c>
    </row>
    <row r="57" spans="1:15" x14ac:dyDescent="0.3">
      <c r="B57" t="s">
        <v>24</v>
      </c>
      <c r="K57" t="s">
        <v>25</v>
      </c>
      <c r="L57">
        <f>AVERAGE(L47:L56)</f>
        <v>-4.0859323397913561E-4</v>
      </c>
    </row>
    <row r="58" spans="1:15" x14ac:dyDescent="0.3">
      <c r="A58" t="s">
        <v>46</v>
      </c>
      <c r="B58" t="s">
        <v>79</v>
      </c>
      <c r="C58">
        <f t="shared" ref="C58:K58" si="5">AVERAGE(C47:C56)</f>
        <v>3.8332999999999991E-3</v>
      </c>
      <c r="D58">
        <f t="shared" si="5"/>
        <v>-3.7583400000000003E-2</v>
      </c>
      <c r="E58">
        <f t="shared" si="5"/>
        <v>-2.7083499999999993E-2</v>
      </c>
      <c r="F58">
        <f t="shared" si="5"/>
        <v>-6.4208299999999996E-2</v>
      </c>
      <c r="G58">
        <f t="shared" si="5"/>
        <v>-5.7666599999999998E-2</v>
      </c>
      <c r="H58">
        <f t="shared" si="5"/>
        <v>-8.0333399999999999E-2</v>
      </c>
      <c r="I58">
        <f t="shared" si="5"/>
        <v>-7.6458300000000007E-2</v>
      </c>
      <c r="J58">
        <f t="shared" si="5"/>
        <v>-7.5916599999999987E-2</v>
      </c>
      <c r="K58">
        <f t="shared" si="5"/>
        <v>-3.9125100000000003E-2</v>
      </c>
    </row>
    <row r="59" spans="1:15" x14ac:dyDescent="0.3">
      <c r="B59" t="s">
        <v>7</v>
      </c>
      <c r="C59">
        <f>STDEV(B48:K57)</f>
        <v>3.8236174033950604E-2</v>
      </c>
      <c r="K59" t="s">
        <v>66</v>
      </c>
      <c r="L59">
        <f>AVERAGE(L47:L57)</f>
        <v>-4.0859323397913566E-4</v>
      </c>
    </row>
    <row r="60" spans="1:15" x14ac:dyDescent="0.3">
      <c r="B60" t="s">
        <v>8</v>
      </c>
      <c r="C60">
        <f>_xlfn.VAR.S(B48:K57)</f>
        <v>1.4620050047545585E-3</v>
      </c>
    </row>
    <row r="61" spans="1:15" x14ac:dyDescent="0.3">
      <c r="B61" t="s">
        <v>59</v>
      </c>
      <c r="C61">
        <f>MAX(B47:K56)</f>
        <v>4.4582999999999998E-2</v>
      </c>
      <c r="N61">
        <f>SLOPE(E49:H49,E46:H46)</f>
        <v>-5.4508032786885238E-4</v>
      </c>
      <c r="O61">
        <f>N61*(H46-E46)</f>
        <v>-3.3249900000000006E-2</v>
      </c>
    </row>
    <row r="62" spans="1:15" x14ac:dyDescent="0.3">
      <c r="B62" t="s">
        <v>60</v>
      </c>
      <c r="C62">
        <f>MIN(B47:K56)</f>
        <v>-0.129583</v>
      </c>
    </row>
    <row r="63" spans="1:15" x14ac:dyDescent="0.3">
      <c r="B63" t="s">
        <v>61</v>
      </c>
      <c r="C63">
        <f>C61-C62</f>
        <v>0.17416599999999999</v>
      </c>
    </row>
    <row r="64" spans="1:15" x14ac:dyDescent="0.3">
      <c r="B64" t="s">
        <v>118</v>
      </c>
      <c r="C64">
        <f>_xlfn.CONFIDENCE.NORM(0.05,C59,100)</f>
        <v>7.4941524013148759E-3</v>
      </c>
      <c r="D64" t="s">
        <v>119</v>
      </c>
    </row>
    <row r="66" spans="1:14" x14ac:dyDescent="0.3">
      <c r="C66" s="4" t="s">
        <v>27</v>
      </c>
    </row>
    <row r="67" spans="1:14" x14ac:dyDescent="0.3">
      <c r="E67" s="4" t="s">
        <v>10</v>
      </c>
    </row>
    <row r="68" spans="1:14" x14ac:dyDescent="0.3">
      <c r="C68" t="s">
        <v>48</v>
      </c>
      <c r="E68">
        <v>52</v>
      </c>
    </row>
    <row r="69" spans="1:14" x14ac:dyDescent="0.3">
      <c r="C69" t="s">
        <v>9</v>
      </c>
      <c r="E69">
        <v>27</v>
      </c>
    </row>
    <row r="70" spans="1:14" x14ac:dyDescent="0.3">
      <c r="C70" t="s">
        <v>55</v>
      </c>
      <c r="E70">
        <v>-20</v>
      </c>
    </row>
    <row r="71" spans="1:14" x14ac:dyDescent="0.3">
      <c r="C71" t="s">
        <v>11</v>
      </c>
      <c r="E71">
        <v>5</v>
      </c>
      <c r="F71">
        <v>169.5</v>
      </c>
    </row>
    <row r="72" spans="1:14" x14ac:dyDescent="0.3">
      <c r="C72" t="s">
        <v>12</v>
      </c>
      <c r="E72">
        <f>E69+E71</f>
        <v>32</v>
      </c>
      <c r="F72">
        <f>F71+E69</f>
        <v>196.5</v>
      </c>
    </row>
    <row r="73" spans="1:14" x14ac:dyDescent="0.3">
      <c r="C73" t="s">
        <v>33</v>
      </c>
      <c r="D73" s="6"/>
      <c r="E73">
        <v>325</v>
      </c>
    </row>
    <row r="74" spans="1:14" x14ac:dyDescent="0.3">
      <c r="C74" t="s">
        <v>51</v>
      </c>
      <c r="E74">
        <v>210</v>
      </c>
    </row>
    <row r="75" spans="1:14" x14ac:dyDescent="0.3">
      <c r="C75" t="s">
        <v>50</v>
      </c>
      <c r="E75">
        <v>205</v>
      </c>
    </row>
    <row r="76" spans="1:14" x14ac:dyDescent="0.3">
      <c r="C76" s="4" t="s">
        <v>31</v>
      </c>
      <c r="D76" s="4" t="s">
        <v>2</v>
      </c>
      <c r="E76" s="4" t="s">
        <v>3</v>
      </c>
    </row>
    <row r="77" spans="1:14" x14ac:dyDescent="0.3">
      <c r="C77" t="s">
        <v>52</v>
      </c>
      <c r="D77" s="6">
        <f>E74-E69</f>
        <v>183</v>
      </c>
      <c r="E77">
        <f>D77/14</f>
        <v>13.071428571428571</v>
      </c>
    </row>
    <row r="78" spans="1:14" x14ac:dyDescent="0.3">
      <c r="C78" t="s">
        <v>53</v>
      </c>
      <c r="D78" s="6">
        <f>E75-12</f>
        <v>193</v>
      </c>
      <c r="E78">
        <f>D78/14</f>
        <v>13.785714285714286</v>
      </c>
    </row>
    <row r="79" spans="1:14" x14ac:dyDescent="0.3">
      <c r="N79" t="s">
        <v>65</v>
      </c>
    </row>
    <row r="80" spans="1:14" ht="28.8" x14ac:dyDescent="0.3">
      <c r="A80" t="s">
        <v>74</v>
      </c>
      <c r="G80" s="7" t="s">
        <v>20</v>
      </c>
    </row>
    <row r="81" spans="1:16" x14ac:dyDescent="0.3">
      <c r="A81" t="s">
        <v>14</v>
      </c>
      <c r="C81" s="5">
        <v>12</v>
      </c>
      <c r="D81" s="5">
        <v>33.444444444444443</v>
      </c>
      <c r="E81" s="5">
        <v>54.888888888888886</v>
      </c>
      <c r="F81" s="5">
        <v>76.333333333333329</v>
      </c>
      <c r="G81" s="5">
        <v>97.777777777777771</v>
      </c>
      <c r="H81" s="5">
        <v>119.22222222222221</v>
      </c>
      <c r="I81" s="5">
        <v>140.66666666666666</v>
      </c>
      <c r="J81" s="5">
        <v>162.11111111111109</v>
      </c>
      <c r="K81" s="5">
        <v>183.55555555555554</v>
      </c>
      <c r="L81" s="5">
        <v>205</v>
      </c>
    </row>
    <row r="82" spans="1:16" x14ac:dyDescent="0.3">
      <c r="A82" t="s">
        <v>16</v>
      </c>
      <c r="C82" s="6">
        <f>C81-$C$81</f>
        <v>0</v>
      </c>
      <c r="D82" s="6">
        <f t="shared" ref="D82:L82" si="6">D81-$C$81</f>
        <v>21.444444444444443</v>
      </c>
      <c r="E82" s="6">
        <f t="shared" si="6"/>
        <v>42.888888888888886</v>
      </c>
      <c r="F82" s="6">
        <f t="shared" si="6"/>
        <v>64.333333333333329</v>
      </c>
      <c r="G82" s="6">
        <f t="shared" si="6"/>
        <v>85.777777777777771</v>
      </c>
      <c r="H82" s="6">
        <f t="shared" si="6"/>
        <v>107.22222222222221</v>
      </c>
      <c r="I82" s="6">
        <f t="shared" si="6"/>
        <v>128.66666666666666</v>
      </c>
      <c r="J82" s="6">
        <f t="shared" si="6"/>
        <v>150.11111111111109</v>
      </c>
      <c r="K82" s="6">
        <f t="shared" si="6"/>
        <v>171.55555555555554</v>
      </c>
      <c r="L82" s="6">
        <f t="shared" si="6"/>
        <v>193</v>
      </c>
    </row>
    <row r="83" spans="1:16" x14ac:dyDescent="0.3">
      <c r="A83" t="s">
        <v>13</v>
      </c>
      <c r="C83" s="5">
        <v>27</v>
      </c>
      <c r="D83" s="5">
        <v>47.333333333333329</v>
      </c>
      <c r="E83" s="5">
        <v>67.666666666666657</v>
      </c>
      <c r="F83" s="5">
        <v>87.999999999999986</v>
      </c>
      <c r="G83" s="5">
        <v>108.33333333333331</v>
      </c>
      <c r="H83" s="5">
        <v>128.66666666666666</v>
      </c>
      <c r="I83" s="5">
        <v>149</v>
      </c>
      <c r="J83" s="5">
        <v>169.33333333333334</v>
      </c>
      <c r="K83" s="5">
        <v>189.66666666666669</v>
      </c>
      <c r="L83" s="5">
        <v>210</v>
      </c>
    </row>
    <row r="84" spans="1:16" x14ac:dyDescent="0.3">
      <c r="A84" t="s">
        <v>15</v>
      </c>
      <c r="C84" s="6">
        <f>C83-$C$83</f>
        <v>0</v>
      </c>
      <c r="D84" s="6">
        <f t="shared" ref="D84:L84" si="7">D83-$C$83</f>
        <v>20.333333333333329</v>
      </c>
      <c r="E84" s="6">
        <f t="shared" si="7"/>
        <v>40.666666666666657</v>
      </c>
      <c r="F84" s="6">
        <f t="shared" si="7"/>
        <v>60.999999999999986</v>
      </c>
      <c r="G84" s="6">
        <f t="shared" si="7"/>
        <v>81.333333333333314</v>
      </c>
      <c r="H84" s="6">
        <f t="shared" si="7"/>
        <v>101.66666666666666</v>
      </c>
      <c r="I84" s="6">
        <f t="shared" si="7"/>
        <v>122</v>
      </c>
      <c r="J84" s="6">
        <f t="shared" si="7"/>
        <v>142.33333333333334</v>
      </c>
      <c r="K84" s="6">
        <f t="shared" si="7"/>
        <v>162.66666666666669</v>
      </c>
      <c r="L84" s="6">
        <f t="shared" si="7"/>
        <v>183</v>
      </c>
    </row>
    <row r="85" spans="1:16" x14ac:dyDescent="0.3">
      <c r="A85" t="s">
        <v>17</v>
      </c>
      <c r="C85" s="6">
        <f>C83+$E$68</f>
        <v>79</v>
      </c>
      <c r="D85" s="6">
        <f t="shared" ref="D85:L85" si="8">D83+$E$68</f>
        <v>99.333333333333329</v>
      </c>
      <c r="E85" s="6">
        <f t="shared" si="8"/>
        <v>119.66666666666666</v>
      </c>
      <c r="F85" s="6">
        <f t="shared" si="8"/>
        <v>140</v>
      </c>
      <c r="G85" s="6">
        <f t="shared" si="8"/>
        <v>160.33333333333331</v>
      </c>
      <c r="H85" s="6">
        <f t="shared" si="8"/>
        <v>180.66666666666666</v>
      </c>
      <c r="I85" s="6">
        <f t="shared" si="8"/>
        <v>201</v>
      </c>
      <c r="J85" s="6">
        <f t="shared" si="8"/>
        <v>221.33333333333334</v>
      </c>
      <c r="K85" s="6">
        <f t="shared" si="8"/>
        <v>241.66666666666669</v>
      </c>
      <c r="L85" s="6">
        <f t="shared" si="8"/>
        <v>262</v>
      </c>
    </row>
    <row r="86" spans="1:16" x14ac:dyDescent="0.3">
      <c r="A86" t="s">
        <v>37</v>
      </c>
      <c r="B86" s="5">
        <f>A52</f>
        <v>119.22222222222221</v>
      </c>
      <c r="C86">
        <v>8.9749999999999996E-2</v>
      </c>
      <c r="D86">
        <f>C52</f>
        <v>3.0417E-2</v>
      </c>
      <c r="E86">
        <v>1.08975</v>
      </c>
      <c r="F86">
        <f>E52</f>
        <v>-6.6670000000000002E-3</v>
      </c>
      <c r="G86">
        <v>2.08975</v>
      </c>
      <c r="H86">
        <f>G52</f>
        <v>-5.3332999999999998E-2</v>
      </c>
      <c r="I86">
        <v>3.08975</v>
      </c>
      <c r="J86">
        <f>I52</f>
        <v>-6.6667000000000004E-2</v>
      </c>
      <c r="K86">
        <v>4.0897500000000004</v>
      </c>
      <c r="L86">
        <f>K52</f>
        <v>-1.4583E-2</v>
      </c>
    </row>
    <row r="87" spans="1:16" x14ac:dyDescent="0.3">
      <c r="A87" t="s">
        <v>18</v>
      </c>
      <c r="C87">
        <f>C86</f>
        <v>8.9749999999999996E-2</v>
      </c>
      <c r="J87">
        <f>J86</f>
        <v>-6.6667000000000004E-2</v>
      </c>
    </row>
    <row r="88" spans="1:16" x14ac:dyDescent="0.3">
      <c r="A88" t="s">
        <v>36</v>
      </c>
      <c r="D88">
        <f t="shared" ref="D88:L88" si="9">AVERAGE(C50:C53)</f>
        <v>2.5625000000000002E-2</v>
      </c>
      <c r="E88">
        <f t="shared" si="9"/>
        <v>-1.1771E-2</v>
      </c>
      <c r="F88">
        <f t="shared" si="9"/>
        <v>-6.7709999999999992E-3</v>
      </c>
      <c r="G88">
        <f t="shared" si="9"/>
        <v>-5.1354250000000004E-2</v>
      </c>
      <c r="H88">
        <f t="shared" si="9"/>
        <v>-4.5312499999999999E-2</v>
      </c>
      <c r="I88">
        <f t="shared" si="9"/>
        <v>-7.0521E-2</v>
      </c>
      <c r="J88">
        <f t="shared" si="9"/>
        <v>-6.4375000000000002E-2</v>
      </c>
      <c r="K88">
        <f t="shared" si="9"/>
        <v>-6.5208249999999995E-2</v>
      </c>
      <c r="L88">
        <f t="shared" si="9"/>
        <v>-1.8854249999999999E-2</v>
      </c>
    </row>
    <row r="90" spans="1:16" x14ac:dyDescent="0.3">
      <c r="O90" t="s">
        <v>47</v>
      </c>
    </row>
    <row r="91" spans="1:16" x14ac:dyDescent="0.3">
      <c r="A91" s="4" t="s">
        <v>75</v>
      </c>
    </row>
    <row r="92" spans="1:16" x14ac:dyDescent="0.3">
      <c r="A92" t="s">
        <v>62</v>
      </c>
      <c r="D92">
        <f>0.04/(F71-E71)</f>
        <v>2.4316109422492402E-4</v>
      </c>
      <c r="E92" t="str">
        <f>FLOOR(ABS((F71-E71)*D92),1)/4  &amp; " h " &amp; TEXT(60*MOD(ABS((F71-E71)*D92), 1)/4, "#0.#") &amp; " min" &amp; IF((F71-E71)*D92 &lt; 0, " CCW", " CW")</f>
        <v>0 h 0.6 min CW</v>
      </c>
      <c r="G92" t="s">
        <v>43</v>
      </c>
      <c r="H92">
        <f>D92*E73</f>
        <v>7.9027355623100301E-2</v>
      </c>
      <c r="I92" t="str">
        <f>FLOOR(ABS(H92),1)/4  &amp; " h " &amp; TEXT(60*MOD(ABS(H92), 1)/4, "#0.#") &amp; " min" &amp; IF(H92 &lt; 0, " CCW", " CW")</f>
        <v>0 h 1.2 min CW</v>
      </c>
      <c r="L92" t="s">
        <v>34</v>
      </c>
      <c r="O92" s="3"/>
    </row>
    <row r="93" spans="1:16" x14ac:dyDescent="0.3">
      <c r="G93" t="s">
        <v>64</v>
      </c>
      <c r="H93" s="31" t="s">
        <v>63</v>
      </c>
      <c r="I93" s="31"/>
      <c r="J93" s="31" t="s">
        <v>90</v>
      </c>
      <c r="K93" s="31"/>
      <c r="L93" s="4" t="s">
        <v>70</v>
      </c>
      <c r="M93" s="4"/>
      <c r="N93" s="31" t="s">
        <v>71</v>
      </c>
      <c r="O93" s="31"/>
      <c r="P93" t="s">
        <v>69</v>
      </c>
    </row>
    <row r="94" spans="1:16" x14ac:dyDescent="0.3">
      <c r="C94" t="s">
        <v>13</v>
      </c>
      <c r="D94" t="s">
        <v>15</v>
      </c>
      <c r="E94" t="s">
        <v>17</v>
      </c>
      <c r="F94" t="s">
        <v>37</v>
      </c>
      <c r="H94" s="4" t="s">
        <v>21</v>
      </c>
      <c r="I94">
        <f ca="1">SLOPE(I96:I104,H96:H104)</f>
        <v>-6.3524385245901621E-4</v>
      </c>
      <c r="K94">
        <f ca="1">SLOPE(K96:K105,J96:J105)</f>
        <v>-4.8956691505216087E-4</v>
      </c>
      <c r="M94">
        <f>SLOPE(M98:M103,L98:L103)</f>
        <v>-8.263958124648795E-4</v>
      </c>
      <c r="O94">
        <f>SLOPE(O99:O102,N99:N102)</f>
        <v>-1.0743106019887117E-3</v>
      </c>
      <c r="P94">
        <f>L57</f>
        <v>-4.0859323397913561E-4</v>
      </c>
    </row>
    <row r="95" spans="1:16" x14ac:dyDescent="0.3">
      <c r="F95" s="5">
        <f>A52</f>
        <v>119.22222222222221</v>
      </c>
      <c r="O95" s="2"/>
    </row>
    <row r="96" spans="1:16" x14ac:dyDescent="0.3">
      <c r="C96" s="5">
        <v>27</v>
      </c>
      <c r="D96" s="6">
        <f>C96-$C$83</f>
        <v>0</v>
      </c>
      <c r="E96" s="6">
        <f>C96+$E$68</f>
        <v>79</v>
      </c>
      <c r="F96">
        <f ca="1">OFFSET($A$52,0,1)</f>
        <v>4.4582999999999998E-2</v>
      </c>
      <c r="H96" s="5">
        <f>E96</f>
        <v>79</v>
      </c>
      <c r="I96">
        <f ca="1">F96</f>
        <v>4.4582999999999998E-2</v>
      </c>
      <c r="J96" s="5">
        <f t="shared" ref="J96:J105" si="10">E96</f>
        <v>79</v>
      </c>
      <c r="K96">
        <f t="shared" ref="K96:K105" ca="1" si="11">F96</f>
        <v>4.4582999999999998E-2</v>
      </c>
      <c r="L96" s="6"/>
      <c r="P96">
        <f>L47*$C$106</f>
        <v>-8.5689664679582681E-2</v>
      </c>
    </row>
    <row r="97" spans="2:16" x14ac:dyDescent="0.3">
      <c r="C97" s="5">
        <v>47.333333333333329</v>
      </c>
      <c r="D97" s="6">
        <f>C97-$C$83</f>
        <v>20.333333333333329</v>
      </c>
      <c r="E97" s="6">
        <f t="shared" ref="E97:E105" si="12">C97+$E$68</f>
        <v>99.333333333333329</v>
      </c>
      <c r="F97">
        <f ca="1">OFFSET($A$52,0,2)</f>
        <v>3.0417E-2</v>
      </c>
      <c r="H97" s="4"/>
      <c r="J97" s="5">
        <f t="shared" si="10"/>
        <v>99.333333333333329</v>
      </c>
      <c r="K97">
        <f t="shared" ca="1" si="11"/>
        <v>3.0417E-2</v>
      </c>
      <c r="L97" s="6"/>
      <c r="O97" s="2"/>
      <c r="P97">
        <f t="shared" ref="P97:P105" si="13">L48*$C$106</f>
        <v>-7.1077935916542448E-2</v>
      </c>
    </row>
    <row r="98" spans="2:16" x14ac:dyDescent="0.3">
      <c r="C98" s="5">
        <v>67.666666666666657</v>
      </c>
      <c r="D98" s="6">
        <f t="shared" ref="D98:D105" si="14">C98-$C$83</f>
        <v>40.666666666666657</v>
      </c>
      <c r="E98" s="6">
        <f t="shared" si="12"/>
        <v>119.66666666666666</v>
      </c>
      <c r="F98">
        <f ca="1">OFFSET($A$52,0,3)</f>
        <v>-7.4999999999999997E-3</v>
      </c>
      <c r="H98" s="4"/>
      <c r="J98" s="5">
        <f t="shared" si="10"/>
        <v>119.66666666666666</v>
      </c>
      <c r="K98">
        <f t="shared" ca="1" si="11"/>
        <v>-7.4999999999999997E-3</v>
      </c>
      <c r="L98" s="6"/>
      <c r="M98" s="6"/>
      <c r="N98" s="6"/>
      <c r="P98">
        <f t="shared" si="13"/>
        <v>-0.12758637853949328</v>
      </c>
    </row>
    <row r="99" spans="2:16" x14ac:dyDescent="0.3">
      <c r="C99" s="5">
        <v>87.999999999999986</v>
      </c>
      <c r="D99" s="6">
        <f t="shared" si="14"/>
        <v>60.999999999999986</v>
      </c>
      <c r="E99" s="6">
        <f t="shared" si="12"/>
        <v>140</v>
      </c>
      <c r="F99">
        <f ca="1">OFFSET($A$52,0,4)</f>
        <v>-6.6670000000000002E-3</v>
      </c>
      <c r="H99" s="4"/>
      <c r="J99" s="5">
        <f t="shared" si="10"/>
        <v>140</v>
      </c>
      <c r="K99">
        <f t="shared" ca="1" si="11"/>
        <v>-6.6670000000000002E-3</v>
      </c>
      <c r="L99" s="5">
        <f>E99</f>
        <v>140</v>
      </c>
      <c r="M99">
        <f>L50*$C$106</f>
        <v>-0.11503266020864381</v>
      </c>
      <c r="N99" s="5">
        <f>E99</f>
        <v>140</v>
      </c>
      <c r="O99">
        <f>SLOPE(E50:H50,$E$46:$H$46)*($C$106)</f>
        <v>-0.23375864754098349</v>
      </c>
      <c r="P99">
        <f t="shared" si="13"/>
        <v>-0.11503266020864381</v>
      </c>
    </row>
    <row r="100" spans="2:16" x14ac:dyDescent="0.3">
      <c r="C100" s="5">
        <v>108.33333333333331</v>
      </c>
      <c r="D100" s="6">
        <f t="shared" si="14"/>
        <v>81.333333333333314</v>
      </c>
      <c r="E100" s="6">
        <f t="shared" si="12"/>
        <v>160.33333333333331</v>
      </c>
      <c r="F100">
        <f ca="1">OFFSET($A$52,0,5)</f>
        <v>-6.0832999999999998E-2</v>
      </c>
      <c r="H100" s="4"/>
      <c r="J100" s="5">
        <f t="shared" si="10"/>
        <v>160.33333333333331</v>
      </c>
      <c r="K100">
        <f t="shared" ca="1" si="11"/>
        <v>-6.0832999999999998E-2</v>
      </c>
      <c r="L100" s="5">
        <f>E100</f>
        <v>160.33333333333331</v>
      </c>
      <c r="M100">
        <f t="shared" ref="M100:M102" si="15">L51*$C$106</f>
        <v>-0.16096576751117736</v>
      </c>
      <c r="N100" s="5">
        <f>E100</f>
        <v>160.33333333333331</v>
      </c>
      <c r="O100">
        <f t="shared" ref="O100:O102" si="16">SLOPE(E51:H51,$E$46:$H$46)*($C$106)</f>
        <v>-0.33099651639344246</v>
      </c>
      <c r="P100">
        <f t="shared" si="13"/>
        <v>-0.16096576751117736</v>
      </c>
    </row>
    <row r="101" spans="2:16" x14ac:dyDescent="0.3">
      <c r="B101" t="s">
        <v>20</v>
      </c>
      <c r="C101" s="5">
        <v>128.66666666666666</v>
      </c>
      <c r="D101" s="6">
        <f t="shared" si="14"/>
        <v>101.66666666666666</v>
      </c>
      <c r="E101" s="6">
        <f t="shared" si="12"/>
        <v>180.66666666666666</v>
      </c>
      <c r="F101">
        <f ca="1">OFFSET($A$52,0,6)</f>
        <v>-5.3332999999999998E-2</v>
      </c>
      <c r="H101" s="4"/>
      <c r="J101" s="5">
        <f t="shared" si="10"/>
        <v>180.66666666666666</v>
      </c>
      <c r="K101">
        <f t="shared" ca="1" si="11"/>
        <v>-5.3332999999999998E-2</v>
      </c>
      <c r="L101" s="5">
        <f>E101</f>
        <v>180.66666666666666</v>
      </c>
      <c r="M101">
        <f t="shared" si="15"/>
        <v>-0.15910924739195229</v>
      </c>
      <c r="N101" s="5">
        <f>E101</f>
        <v>180.66666666666666</v>
      </c>
      <c r="O101">
        <f t="shared" si="16"/>
        <v>-0.30368692622950805</v>
      </c>
      <c r="P101">
        <f t="shared" si="13"/>
        <v>-0.15910924739195229</v>
      </c>
    </row>
    <row r="102" spans="2:16" x14ac:dyDescent="0.3">
      <c r="C102" s="5">
        <v>149</v>
      </c>
      <c r="D102" s="6">
        <f t="shared" si="14"/>
        <v>122</v>
      </c>
      <c r="E102" s="6">
        <f t="shared" si="12"/>
        <v>201</v>
      </c>
      <c r="F102">
        <f ca="1">OFFSET($A$52,0,7)</f>
        <v>-7.2499999999999995E-2</v>
      </c>
      <c r="H102" s="4"/>
      <c r="J102" s="5">
        <f t="shared" si="10"/>
        <v>201</v>
      </c>
      <c r="K102">
        <f t="shared" ca="1" si="11"/>
        <v>-7.2499999999999995E-2</v>
      </c>
      <c r="L102" s="5">
        <f>E102</f>
        <v>201</v>
      </c>
      <c r="M102">
        <f t="shared" si="15"/>
        <v>-0.17166277198211624</v>
      </c>
      <c r="N102" s="5">
        <f>E102</f>
        <v>201</v>
      </c>
      <c r="O102">
        <f t="shared" si="16"/>
        <v>-0.31567622950819657</v>
      </c>
      <c r="P102">
        <f t="shared" si="13"/>
        <v>-0.17166277198211624</v>
      </c>
    </row>
    <row r="103" spans="2:16" x14ac:dyDescent="0.3">
      <c r="C103" s="5">
        <v>169.33333333333334</v>
      </c>
      <c r="D103" s="6">
        <f t="shared" si="14"/>
        <v>142.33333333333334</v>
      </c>
      <c r="E103" s="6">
        <f t="shared" si="12"/>
        <v>221.33333333333334</v>
      </c>
      <c r="F103">
        <f ca="1">OFFSET($A$52,0,8)</f>
        <v>-6.6667000000000004E-2</v>
      </c>
      <c r="H103" s="4"/>
      <c r="J103" s="5">
        <f t="shared" si="10"/>
        <v>221.33333333333334</v>
      </c>
      <c r="K103">
        <f t="shared" ca="1" si="11"/>
        <v>-6.6667000000000004E-2</v>
      </c>
      <c r="L103" s="6"/>
      <c r="M103" s="6"/>
      <c r="N103" s="6"/>
      <c r="P103">
        <f t="shared" si="13"/>
        <v>-0.16060279433681068</v>
      </c>
    </row>
    <row r="104" spans="2:16" x14ac:dyDescent="0.3">
      <c r="C104" s="5">
        <v>189.66666666666669</v>
      </c>
      <c r="D104" s="6">
        <f t="shared" si="14"/>
        <v>162.66666666666669</v>
      </c>
      <c r="E104" s="6">
        <f t="shared" si="12"/>
        <v>241.66666666666669</v>
      </c>
      <c r="F104">
        <f ca="1">OFFSET($A$52,0,9)</f>
        <v>-5.8749999999999997E-2</v>
      </c>
      <c r="H104" s="5">
        <f>E104</f>
        <v>241.66666666666669</v>
      </c>
      <c r="I104">
        <f ca="1">F104</f>
        <v>-5.8749999999999997E-2</v>
      </c>
      <c r="J104" s="5">
        <f t="shared" si="10"/>
        <v>241.66666666666669</v>
      </c>
      <c r="K104">
        <f t="shared" ca="1" si="11"/>
        <v>-5.8749999999999997E-2</v>
      </c>
      <c r="L104" s="6"/>
      <c r="O104" s="3"/>
      <c r="P104">
        <f t="shared" si="13"/>
        <v>-0.12007805514157972</v>
      </c>
    </row>
    <row r="105" spans="2:16" x14ac:dyDescent="0.3">
      <c r="C105" s="5">
        <v>210</v>
      </c>
      <c r="D105" s="6">
        <f t="shared" si="14"/>
        <v>183</v>
      </c>
      <c r="E105" s="6">
        <f t="shared" si="12"/>
        <v>262</v>
      </c>
      <c r="F105">
        <f ca="1">OFFSET($A$52,0,10)</f>
        <v>-1.4583E-2</v>
      </c>
      <c r="J105" s="5">
        <f t="shared" si="10"/>
        <v>262</v>
      </c>
      <c r="K105">
        <f t="shared" ca="1" si="11"/>
        <v>-1.4583E-2</v>
      </c>
      <c r="L105" s="6"/>
      <c r="O105" s="2"/>
      <c r="P105">
        <f t="shared" si="13"/>
        <v>-0.15612273472429214</v>
      </c>
    </row>
    <row r="106" spans="2:16" x14ac:dyDescent="0.3">
      <c r="B106" t="s">
        <v>19</v>
      </c>
      <c r="C106" s="5">
        <f>E73</f>
        <v>325</v>
      </c>
      <c r="D106" t="s">
        <v>28</v>
      </c>
      <c r="G106">
        <f>D92*(H104-H96)</f>
        <v>3.9554204660587643E-2</v>
      </c>
      <c r="I106">
        <f ca="1">$C$106*I94</f>
        <v>-0.20645425204918028</v>
      </c>
      <c r="K106">
        <f ca="1">$C$106*K94</f>
        <v>-0.15910924739195229</v>
      </c>
      <c r="L106" s="6"/>
      <c r="M106">
        <f>AVERAGE(M99:M102)</f>
        <v>-0.15169261177347243</v>
      </c>
      <c r="O106">
        <f>AVERAGE(O99:O102)</f>
        <v>-0.29602957991803264</v>
      </c>
      <c r="P106">
        <f>D88*P94</f>
        <v>-1.047020162071535E-5</v>
      </c>
    </row>
    <row r="107" spans="2:16" x14ac:dyDescent="0.3">
      <c r="D107" t="s">
        <v>26</v>
      </c>
      <c r="G107" s="6" t="str">
        <f>FLOOR(ABS(G106),1)/4  &amp; " h " &amp; TEXT(60*MOD(ABS(G106), 1)/4, "#0.#") &amp; " min" &amp; IF(G106 &lt; 0, " CCW", " CW")</f>
        <v>0 h 0.6 min CW</v>
      </c>
      <c r="H107" s="6"/>
      <c r="I107" s="6" t="str">
        <f ca="1">FLOOR(ABS(I106),1)/4  &amp; " h " &amp; TEXT(60*MOD(ABS(I106), 1)/4, "#0.#") &amp; " min" &amp; IF(I106 &lt; 0, " CCW", " CW")</f>
        <v>0 h 3.1 min CCW</v>
      </c>
      <c r="J107" s="6"/>
      <c r="K107" s="6" t="str">
        <f ca="1">FLOOR(ABS(K106),1)/4  &amp; " h " &amp; TEXT(60*MOD(ABS(K106), 1)/4, "#0.#") &amp; " min" &amp; IF(K106 &lt; 0, " CCW", " CW")</f>
        <v>0 h 2.4 min CCW</v>
      </c>
      <c r="L107" s="6"/>
      <c r="M107" s="6" t="str">
        <f>FLOOR(ABS(M106),1)/4  &amp; " h " &amp; TEXT(60*MOD(ABS(M106), 1)/4, "#0.#") &amp; " min" &amp; IF(M106 &lt; 0, " CCW", " CW")</f>
        <v>0 h 2.3 min CCW</v>
      </c>
      <c r="N107" s="6"/>
      <c r="O107" s="6" t="str">
        <f>FLOOR(ABS(O106),1)/4  &amp; " h " &amp; TEXT(60*MOD(ABS(O106), 1)/4, "#0.#") &amp; " min" &amp; IF(O106 &lt; 0, " CCW", " CW")</f>
        <v>0 h 4.4 min CCW</v>
      </c>
      <c r="P107" s="6" t="str">
        <f>FLOOR(ABS(P106),1)/4  &amp; " h " &amp; TEXT(60*MOD(ABS(P106), 1)/4, "#0.#") &amp; " min" &amp; IF(P106 &lt; 0, " CCW", " CW")</f>
        <v>0 h 0. min CCW</v>
      </c>
    </row>
    <row r="108" spans="2:16" x14ac:dyDescent="0.3">
      <c r="D108" t="s">
        <v>29</v>
      </c>
      <c r="I108">
        <f ca="1">60*MOD(ABS(I106)/4, 1)</f>
        <v>3.0968137807377043</v>
      </c>
      <c r="K108">
        <f ca="1">60*MOD(ABS(K106)/4, 1)</f>
        <v>2.3866387108792844</v>
      </c>
      <c r="M108">
        <f>60*MOD(ABS(M106)/4, 1)</f>
        <v>2.2753891766020864</v>
      </c>
      <c r="O108">
        <f>60*MOD(ABS(O106)/4, 1)</f>
        <v>4.4404436987704896</v>
      </c>
      <c r="P108">
        <f>60*MOD(ABS(P106)/4, 1)</f>
        <v>1.5705302431073026E-4</v>
      </c>
    </row>
    <row r="113" spans="1:14" x14ac:dyDescent="0.3">
      <c r="C113" s="4" t="s">
        <v>32</v>
      </c>
    </row>
    <row r="114" spans="1:14" x14ac:dyDescent="0.3">
      <c r="D114" s="4" t="s">
        <v>22</v>
      </c>
      <c r="E114" s="4" t="s">
        <v>23</v>
      </c>
      <c r="F114" s="4" t="s">
        <v>38</v>
      </c>
      <c r="G114" s="4" t="s">
        <v>42</v>
      </c>
      <c r="K114" s="4"/>
    </row>
    <row r="115" spans="1:14" x14ac:dyDescent="0.3">
      <c r="C115" t="s">
        <v>41</v>
      </c>
      <c r="D115" s="1">
        <f ca="1">I106</f>
        <v>-0.20645425204918028</v>
      </c>
      <c r="E115" s="1">
        <f ca="1">K106</f>
        <v>-0.15910924739195229</v>
      </c>
      <c r="F115" s="1">
        <f>M106</f>
        <v>-0.15169261177347243</v>
      </c>
      <c r="G115" s="1">
        <f>O106</f>
        <v>-0.29602957991803264</v>
      </c>
    </row>
    <row r="116" spans="1:14" x14ac:dyDescent="0.3">
      <c r="C116" t="s">
        <v>26</v>
      </c>
      <c r="D116" s="6" t="str">
        <f ca="1">I107</f>
        <v>0 h 3.1 min CCW</v>
      </c>
      <c r="E116" s="6" t="str">
        <f ca="1">K107</f>
        <v>0 h 2.4 min CCW</v>
      </c>
      <c r="F116" s="6" t="str">
        <f>M107</f>
        <v>0 h 2.3 min CCW</v>
      </c>
      <c r="G116" s="6" t="str">
        <f>O107</f>
        <v>0 h 4.4 min CCW</v>
      </c>
    </row>
    <row r="118" spans="1:14" x14ac:dyDescent="0.3">
      <c r="B118" s="10"/>
      <c r="C118" s="10"/>
      <c r="D118" s="10"/>
      <c r="E118" s="10"/>
      <c r="F118" s="10"/>
      <c r="G118" s="10"/>
      <c r="H118" s="10"/>
      <c r="I118" s="10"/>
      <c r="J118" s="10"/>
      <c r="K118" s="10"/>
      <c r="L118" s="10"/>
    </row>
    <row r="119" spans="1:14" x14ac:dyDescent="0.3">
      <c r="A119" t="s">
        <v>92</v>
      </c>
      <c r="B119" s="10"/>
      <c r="C119" s="10"/>
      <c r="D119" s="10"/>
      <c r="E119" s="10"/>
      <c r="F119" s="10"/>
      <c r="G119" s="10"/>
      <c r="H119" s="10"/>
      <c r="I119" s="10"/>
      <c r="J119" s="10"/>
      <c r="K119" s="10"/>
      <c r="L119" s="10"/>
    </row>
    <row r="120" spans="1:14" x14ac:dyDescent="0.3">
      <c r="A120" t="s">
        <v>49</v>
      </c>
      <c r="B120" s="10" t="s">
        <v>72</v>
      </c>
      <c r="C120" s="10" t="s">
        <v>73</v>
      </c>
      <c r="D120" s="10"/>
      <c r="E120" s="10"/>
      <c r="F120" s="10"/>
      <c r="G120" s="10"/>
      <c r="H120" s="10"/>
      <c r="I120" s="10"/>
      <c r="J120" s="10"/>
      <c r="K120" s="10"/>
      <c r="L120" s="10"/>
      <c r="M120" s="5"/>
      <c r="N120" s="5"/>
    </row>
    <row r="121" spans="1:14" x14ac:dyDescent="0.3">
      <c r="A121" t="s">
        <v>58</v>
      </c>
      <c r="B121" s="10" t="s">
        <v>49</v>
      </c>
      <c r="C121" s="10">
        <v>-5.2400000000000005E-4</v>
      </c>
      <c r="D121" s="10">
        <v>-8.4880000000000008E-3</v>
      </c>
      <c r="E121" s="10">
        <v>-6.0203E-2</v>
      </c>
      <c r="F121" s="10">
        <v>-3.5667999999999998E-2</v>
      </c>
      <c r="G121" s="10">
        <v>-5.3215999999999999E-2</v>
      </c>
      <c r="H121" s="10">
        <v>-2.1597000000000002E-2</v>
      </c>
      <c r="I121" s="10">
        <v>-1.4597000000000001E-2</v>
      </c>
      <c r="J121" s="10">
        <v>-8.8950000000000001E-3</v>
      </c>
      <c r="K121">
        <v>-2.2762999999999999E-2</v>
      </c>
      <c r="L121">
        <v>-3.0811000000000002E-2</v>
      </c>
    </row>
    <row r="122" spans="1:14" x14ac:dyDescent="0.3">
      <c r="A122" t="s">
        <v>58</v>
      </c>
      <c r="B122" s="10" t="s">
        <v>49</v>
      </c>
      <c r="C122" s="10">
        <v>-3.8540999999999999E-2</v>
      </c>
      <c r="D122" s="10">
        <v>-2.3172999999999999E-2</v>
      </c>
      <c r="E122" s="10">
        <v>-6.1553999999999998E-2</v>
      </c>
      <c r="F122" s="10">
        <v>-3.2018999999999999E-2</v>
      </c>
      <c r="G122" s="10">
        <v>-3.3316999999999999E-2</v>
      </c>
      <c r="H122" s="10">
        <v>-2.9480000000000001E-3</v>
      </c>
      <c r="I122" s="10">
        <v>-1.3649999999999999E-3</v>
      </c>
      <c r="J122" s="10">
        <v>6.8370000000000002E-3</v>
      </c>
      <c r="K122">
        <v>-1.1197E-2</v>
      </c>
      <c r="L122">
        <v>-3.1328000000000002E-2</v>
      </c>
    </row>
    <row r="123" spans="1:14" x14ac:dyDescent="0.3">
      <c r="A123" t="s">
        <v>58</v>
      </c>
      <c r="B123" s="10" t="s">
        <v>49</v>
      </c>
      <c r="C123" s="10">
        <v>-4.8929999999999998E-3</v>
      </c>
      <c r="D123" s="10">
        <v>1.7975999999999999E-2</v>
      </c>
      <c r="E123" s="10">
        <v>-1.7489000000000001E-2</v>
      </c>
      <c r="F123" s="10">
        <v>-1.7030000000000001E-3</v>
      </c>
      <c r="G123" s="10">
        <v>-1.3835E-2</v>
      </c>
      <c r="H123" s="10">
        <v>1.8617000000000002E-2</v>
      </c>
      <c r="I123" s="10">
        <v>1.4784E-2</v>
      </c>
      <c r="J123" s="10">
        <v>2.1319999999999999E-2</v>
      </c>
      <c r="K123">
        <v>-2.9650000000000002E-3</v>
      </c>
      <c r="L123">
        <v>-1.6428999999999999E-2</v>
      </c>
    </row>
    <row r="124" spans="1:14" x14ac:dyDescent="0.3">
      <c r="A124" t="s">
        <v>58</v>
      </c>
      <c r="B124" s="10" t="s">
        <v>49</v>
      </c>
      <c r="C124" s="10">
        <v>-1.1246000000000001E-2</v>
      </c>
      <c r="D124" s="10">
        <v>7.0390000000000001E-3</v>
      </c>
      <c r="E124" s="10">
        <v>-1.3426E-2</v>
      </c>
      <c r="F124" s="10">
        <v>1.736E-2</v>
      </c>
      <c r="G124" s="10">
        <v>1.062E-3</v>
      </c>
      <c r="H124" s="10">
        <v>2.9347000000000002E-2</v>
      </c>
      <c r="I124" s="10">
        <v>2.3847E-2</v>
      </c>
      <c r="J124" s="10">
        <v>3.1216000000000001E-2</v>
      </c>
      <c r="K124">
        <v>1.931E-3</v>
      </c>
      <c r="L124">
        <v>1.0966999999999999E-2</v>
      </c>
    </row>
    <row r="125" spans="1:14" x14ac:dyDescent="0.3">
      <c r="A125" t="s">
        <v>58</v>
      </c>
      <c r="B125" s="10" t="s">
        <v>49</v>
      </c>
      <c r="C125" s="10">
        <v>-1.1103E-2</v>
      </c>
      <c r="D125" s="10">
        <v>1.0515999999999999E-2</v>
      </c>
      <c r="E125" s="10">
        <v>-3.2829999999999999E-3</v>
      </c>
      <c r="F125" s="10">
        <v>2.0419E-2</v>
      </c>
      <c r="G125" s="10">
        <v>-8.7900000000000001E-4</v>
      </c>
      <c r="H125" s="10">
        <v>2.1572999999999998E-2</v>
      </c>
      <c r="I125" s="10">
        <v>1.524E-2</v>
      </c>
      <c r="J125" s="10">
        <v>1.6775999999999999E-2</v>
      </c>
      <c r="K125">
        <v>-8.3420000000000005E-3</v>
      </c>
      <c r="L125">
        <v>-6.8069999999999997E-3</v>
      </c>
    </row>
    <row r="126" spans="1:14" x14ac:dyDescent="0.3">
      <c r="A126" t="s">
        <v>58</v>
      </c>
      <c r="B126" s="10" t="s">
        <v>49</v>
      </c>
      <c r="C126" s="10">
        <v>-1.6899999999999998E-2</v>
      </c>
      <c r="D126" s="10">
        <v>3.8860000000000001E-3</v>
      </c>
      <c r="E126" s="10">
        <v>-1.5329000000000001E-2</v>
      </c>
      <c r="F126" s="10">
        <v>8.3730000000000002E-3</v>
      </c>
      <c r="G126" s="10">
        <v>-2.5009E-2</v>
      </c>
      <c r="H126" s="10">
        <v>4.5269999999999998E-3</v>
      </c>
      <c r="I126" s="10">
        <v>4.0270000000000002E-3</v>
      </c>
      <c r="J126" s="10">
        <v>1.0146000000000001E-2</v>
      </c>
      <c r="K126">
        <v>-1.3722E-2</v>
      </c>
      <c r="L126">
        <v>-1.0102999999999999E-2</v>
      </c>
    </row>
    <row r="127" spans="1:14" x14ac:dyDescent="0.3">
      <c r="A127" t="s">
        <v>58</v>
      </c>
      <c r="B127" s="10" t="s">
        <v>49</v>
      </c>
      <c r="C127" s="10">
        <v>-3.2696000000000003E-2</v>
      </c>
      <c r="D127" s="10">
        <v>-5.6610000000000002E-3</v>
      </c>
      <c r="E127" s="10">
        <v>-2.2793000000000001E-2</v>
      </c>
      <c r="F127" s="10">
        <v>7.9930000000000001E-3</v>
      </c>
      <c r="G127" s="10">
        <v>-1.6222E-2</v>
      </c>
      <c r="H127" s="10">
        <v>7.4799999999999997E-3</v>
      </c>
      <c r="I127" s="10">
        <v>-9.3599999999999998E-4</v>
      </c>
      <c r="J127" s="10">
        <v>-1.067E-3</v>
      </c>
      <c r="K127">
        <v>-2.4936E-2</v>
      </c>
      <c r="L127">
        <v>-2.2565999999999999E-2</v>
      </c>
    </row>
    <row r="128" spans="1:14" x14ac:dyDescent="0.3">
      <c r="A128" t="s">
        <v>58</v>
      </c>
      <c r="B128" s="10" t="s">
        <v>49</v>
      </c>
      <c r="C128" s="10">
        <v>-4.3909999999999998E-2</v>
      </c>
      <c r="D128" s="10">
        <v>-2.6041000000000002E-2</v>
      </c>
      <c r="E128" s="10">
        <v>-4.0672E-2</v>
      </c>
      <c r="F128" s="10">
        <v>-7.2000000000000005E-4</v>
      </c>
      <c r="G128" s="10">
        <v>-1.8269000000000001E-2</v>
      </c>
      <c r="H128" s="10">
        <v>5.8500000000000002E-3</v>
      </c>
      <c r="I128" s="10">
        <v>-7.5659999999999998E-3</v>
      </c>
      <c r="J128" s="10">
        <v>-6.4469999999999996E-3</v>
      </c>
      <c r="K128">
        <v>-3.1981999999999997E-2</v>
      </c>
      <c r="L128">
        <v>-2.9613E-2</v>
      </c>
    </row>
    <row r="129" spans="1:12" x14ac:dyDescent="0.3">
      <c r="A129" t="s">
        <v>58</v>
      </c>
      <c r="B129" s="10" t="s">
        <v>49</v>
      </c>
      <c r="C129" s="10">
        <v>-8.0127000000000004E-2</v>
      </c>
      <c r="D129" s="10">
        <v>-5.5175000000000002E-2</v>
      </c>
      <c r="E129" s="10">
        <v>-6.3556000000000001E-2</v>
      </c>
      <c r="F129" s="10">
        <v>-2.1104000000000001E-2</v>
      </c>
      <c r="G129" s="10">
        <v>-3.1151999999999999E-2</v>
      </c>
      <c r="H129" s="10">
        <v>-8.2839999999999997E-3</v>
      </c>
      <c r="I129" s="10">
        <v>-1.7534000000000001E-2</v>
      </c>
      <c r="J129" s="10">
        <v>-2.0580999999999999E-2</v>
      </c>
      <c r="K129">
        <v>-4.4866000000000003E-2</v>
      </c>
      <c r="L129">
        <v>-3.6247000000000001E-2</v>
      </c>
    </row>
    <row r="130" spans="1:12" x14ac:dyDescent="0.3">
      <c r="A130" t="s">
        <v>58</v>
      </c>
      <c r="B130" s="10" t="s">
        <v>49</v>
      </c>
      <c r="C130" s="10">
        <v>-8.2589999999999997E-2</v>
      </c>
      <c r="D130" s="10">
        <v>-4.8053999999999999E-2</v>
      </c>
      <c r="E130" s="10">
        <v>-4.3519000000000002E-2</v>
      </c>
      <c r="F130" s="10">
        <v>7.2659999999999999E-3</v>
      </c>
      <c r="G130" s="10">
        <v>-2.1115999999999999E-2</v>
      </c>
      <c r="H130" s="10">
        <v>-1.9970000000000001E-3</v>
      </c>
      <c r="I130" s="10">
        <v>-9.9970000000000007E-3</v>
      </c>
      <c r="J130" s="10">
        <v>-1.3044E-2</v>
      </c>
      <c r="K130">
        <v>-4.3996E-2</v>
      </c>
      <c r="L130">
        <v>-2.5377E-2</v>
      </c>
    </row>
    <row r="131" spans="1:12" x14ac:dyDescent="0.3">
      <c r="B131" s="10" t="s">
        <v>49</v>
      </c>
      <c r="C131" s="10" t="s">
        <v>77</v>
      </c>
      <c r="D131" s="10" t="s">
        <v>73</v>
      </c>
      <c r="E131" s="10">
        <v>10</v>
      </c>
      <c r="F131" s="10"/>
      <c r="G131" s="10"/>
      <c r="H131" s="10"/>
      <c r="I131" s="10"/>
      <c r="J131" s="10"/>
      <c r="K131" s="10"/>
      <c r="L131" s="10"/>
    </row>
    <row r="132" spans="1:12" x14ac:dyDescent="0.3">
      <c r="B132" s="10"/>
      <c r="C132" s="10"/>
      <c r="D132" s="10"/>
      <c r="E132" s="10"/>
      <c r="F132" s="10"/>
      <c r="G132" s="10"/>
      <c r="H132" s="10"/>
      <c r="I132" s="10"/>
      <c r="J132" s="10"/>
      <c r="K132" s="10"/>
      <c r="L132" s="10"/>
    </row>
    <row r="133" spans="1:12" x14ac:dyDescent="0.3">
      <c r="B133" s="10"/>
      <c r="C133" s="10"/>
      <c r="D133" s="10"/>
      <c r="E133" s="10"/>
      <c r="F133" s="10"/>
      <c r="G133" s="10"/>
      <c r="H133" s="10"/>
      <c r="I133" s="10"/>
      <c r="J133" s="10"/>
      <c r="K133" s="10"/>
      <c r="L133" s="10"/>
    </row>
    <row r="134" spans="1:12" x14ac:dyDescent="0.3">
      <c r="B134" s="10"/>
      <c r="C134" s="10"/>
      <c r="D134" s="10"/>
      <c r="E134" s="10"/>
      <c r="F134" s="10"/>
      <c r="G134" s="10"/>
      <c r="H134" s="10"/>
      <c r="I134" s="10"/>
      <c r="J134" s="10"/>
      <c r="K134" s="10"/>
      <c r="L134" s="10"/>
    </row>
    <row r="135" spans="1:12" x14ac:dyDescent="0.3">
      <c r="B135" s="10"/>
      <c r="C135" s="10"/>
      <c r="D135" s="10"/>
      <c r="E135" s="10"/>
      <c r="F135" s="10"/>
      <c r="G135" s="10"/>
      <c r="H135" s="10"/>
      <c r="I135" s="10"/>
      <c r="J135" s="10"/>
      <c r="K135" s="10"/>
      <c r="L135" s="10"/>
    </row>
    <row r="136" spans="1:12" x14ac:dyDescent="0.3">
      <c r="B136" s="10"/>
      <c r="C136" s="10"/>
      <c r="D136" s="10"/>
      <c r="E136" s="10"/>
      <c r="F136" s="10"/>
      <c r="G136" s="10"/>
      <c r="H136" s="10"/>
      <c r="I136" s="10"/>
      <c r="J136" s="10"/>
      <c r="K136" s="10"/>
      <c r="L136" s="10"/>
    </row>
    <row r="137" spans="1:12" x14ac:dyDescent="0.3">
      <c r="C137" s="5"/>
      <c r="D137" s="5"/>
      <c r="E137" s="5"/>
      <c r="F137" s="5"/>
      <c r="G137" s="5"/>
      <c r="H137" s="5"/>
      <c r="I137" s="5"/>
      <c r="J137" s="5"/>
      <c r="K137" s="5"/>
      <c r="L137" s="5"/>
    </row>
    <row r="138" spans="1:12" x14ac:dyDescent="0.3">
      <c r="B138" s="5"/>
      <c r="C138" s="10"/>
      <c r="D138" s="10"/>
      <c r="E138" s="10"/>
      <c r="F138" s="10"/>
      <c r="G138" s="10"/>
      <c r="H138" s="10"/>
      <c r="I138" s="10"/>
      <c r="J138" s="10"/>
    </row>
    <row r="139" spans="1:12" x14ac:dyDescent="0.3">
      <c r="B139" s="5"/>
      <c r="C139" s="10"/>
      <c r="D139" s="10"/>
      <c r="E139" s="10"/>
      <c r="F139" s="10"/>
      <c r="G139" s="10"/>
      <c r="H139" s="10"/>
      <c r="I139" s="10"/>
      <c r="J139" s="10"/>
    </row>
    <row r="140" spans="1:12" x14ac:dyDescent="0.3">
      <c r="B140" s="5"/>
      <c r="C140" s="10"/>
      <c r="D140" s="10"/>
      <c r="E140" s="10"/>
      <c r="F140" s="10"/>
      <c r="G140" s="10"/>
      <c r="H140" s="10"/>
      <c r="I140" s="10"/>
      <c r="J140" s="10"/>
    </row>
    <row r="141" spans="1:12" x14ac:dyDescent="0.3">
      <c r="B141" s="5"/>
      <c r="C141" s="10"/>
      <c r="D141" s="10"/>
      <c r="E141" s="10"/>
      <c r="F141" s="10"/>
      <c r="G141" s="10"/>
      <c r="H141" s="10"/>
      <c r="I141" s="10"/>
      <c r="J141" s="10"/>
    </row>
    <row r="142" spans="1:12" x14ac:dyDescent="0.3">
      <c r="B142" s="5"/>
      <c r="C142" s="10"/>
      <c r="D142" s="10"/>
      <c r="E142" s="10"/>
      <c r="F142" s="10"/>
      <c r="G142" s="10"/>
      <c r="H142" s="10"/>
      <c r="I142" s="10"/>
      <c r="J142" s="10"/>
    </row>
    <row r="143" spans="1:12" x14ac:dyDescent="0.3">
      <c r="B143" s="5"/>
      <c r="C143" s="10"/>
      <c r="D143" s="10"/>
      <c r="E143" s="10"/>
      <c r="F143" s="10"/>
      <c r="G143" s="10"/>
      <c r="H143" s="10"/>
      <c r="I143" s="10"/>
      <c r="J143" s="10"/>
    </row>
    <row r="144" spans="1:12" x14ac:dyDescent="0.3">
      <c r="B144" s="5"/>
      <c r="C144" s="10"/>
      <c r="D144" s="10"/>
      <c r="E144" s="10"/>
      <c r="F144" s="10"/>
      <c r="G144" s="10"/>
      <c r="H144" s="10"/>
      <c r="I144" s="10"/>
      <c r="J144" s="10"/>
    </row>
    <row r="145" spans="2:12" x14ac:dyDescent="0.3">
      <c r="B145" s="5"/>
      <c r="C145" s="10"/>
      <c r="D145" s="10"/>
      <c r="E145" s="10"/>
      <c r="F145" s="10"/>
      <c r="G145" s="10"/>
      <c r="H145" s="10"/>
      <c r="I145" s="10"/>
      <c r="J145" s="10"/>
    </row>
    <row r="146" spans="2:12" x14ac:dyDescent="0.3">
      <c r="B146" s="5"/>
      <c r="C146" s="10"/>
      <c r="D146" s="10"/>
      <c r="E146" s="10"/>
      <c r="F146" s="10"/>
      <c r="G146" s="10"/>
      <c r="H146" s="10"/>
      <c r="I146" s="10"/>
      <c r="J146" s="10"/>
    </row>
    <row r="147" spans="2:12" x14ac:dyDescent="0.3">
      <c r="B147" s="5"/>
      <c r="C147" s="10"/>
      <c r="D147" s="10"/>
      <c r="E147" s="10"/>
      <c r="F147" s="10"/>
      <c r="G147" s="10"/>
      <c r="H147" s="10"/>
      <c r="I147" s="10"/>
      <c r="J147" s="10"/>
    </row>
    <row r="148" spans="2:12" x14ac:dyDescent="0.3">
      <c r="B148" s="10"/>
      <c r="C148" s="10"/>
      <c r="D148" s="10"/>
      <c r="E148" s="10"/>
      <c r="F148" s="10"/>
      <c r="G148" s="10"/>
      <c r="H148" s="10"/>
      <c r="I148" s="10"/>
      <c r="J148" s="10"/>
      <c r="K148" s="10"/>
      <c r="L148" s="10"/>
    </row>
    <row r="149" spans="2:12" x14ac:dyDescent="0.3">
      <c r="B149" s="10"/>
      <c r="C149" s="10"/>
      <c r="D149" s="10"/>
      <c r="E149" s="10"/>
      <c r="F149" s="10"/>
      <c r="G149" s="10"/>
      <c r="H149" s="10"/>
      <c r="I149" s="10"/>
      <c r="J149" s="10"/>
      <c r="K149" s="10"/>
      <c r="L149" s="10"/>
    </row>
    <row r="150" spans="2:12" x14ac:dyDescent="0.3">
      <c r="B150" s="10"/>
      <c r="C150" s="10"/>
      <c r="D150" s="10"/>
      <c r="E150" s="10"/>
      <c r="F150" s="10"/>
      <c r="G150" s="10"/>
      <c r="H150" s="10"/>
      <c r="I150" s="10"/>
      <c r="J150" s="10"/>
      <c r="K150" s="10"/>
      <c r="L150" s="10"/>
    </row>
    <row r="151" spans="2:12" x14ac:dyDescent="0.3">
      <c r="B151" s="10"/>
      <c r="C151" s="10"/>
      <c r="D151" s="10"/>
      <c r="E151" s="10"/>
      <c r="F151" s="10"/>
      <c r="G151" s="10"/>
      <c r="H151" s="10"/>
      <c r="I151" s="10"/>
      <c r="J151" s="10"/>
      <c r="K151" s="10"/>
      <c r="L151" s="10"/>
    </row>
    <row r="152" spans="2:12" x14ac:dyDescent="0.3">
      <c r="B152" s="10"/>
      <c r="C152" s="10"/>
      <c r="D152" s="10"/>
      <c r="E152" s="10"/>
      <c r="F152" s="10"/>
      <c r="G152" s="10"/>
      <c r="H152" s="10"/>
      <c r="I152" s="10"/>
      <c r="J152" s="10"/>
      <c r="K152" s="10"/>
      <c r="L152" s="10"/>
    </row>
    <row r="153" spans="2:12" x14ac:dyDescent="0.3">
      <c r="B153" s="10"/>
      <c r="C153" s="10"/>
      <c r="D153" s="10"/>
      <c r="E153" s="10"/>
      <c r="F153" s="10"/>
      <c r="G153" s="10"/>
      <c r="H153" s="10"/>
      <c r="I153" s="10"/>
      <c r="J153" s="10"/>
      <c r="K153" s="10"/>
      <c r="L153" s="10"/>
    </row>
    <row r="154" spans="2:12" x14ac:dyDescent="0.3">
      <c r="B154" s="10"/>
      <c r="C154" s="10"/>
      <c r="D154" s="10"/>
      <c r="E154" s="10"/>
      <c r="F154" s="10"/>
      <c r="G154" s="11"/>
      <c r="H154" s="10"/>
      <c r="I154" s="10"/>
      <c r="J154" s="10"/>
      <c r="K154" s="10"/>
      <c r="L154" s="10"/>
    </row>
    <row r="155" spans="2:12" x14ac:dyDescent="0.3">
      <c r="B155" s="10"/>
      <c r="C155" s="12"/>
      <c r="D155" s="12"/>
      <c r="E155" s="12"/>
      <c r="F155" s="12"/>
      <c r="G155" s="12"/>
      <c r="H155" s="12"/>
      <c r="I155" s="10"/>
      <c r="J155" s="12"/>
      <c r="K155" s="12"/>
      <c r="L155" s="10"/>
    </row>
    <row r="156" spans="2:12" x14ac:dyDescent="0.3">
      <c r="B156" s="10"/>
      <c r="C156" s="10"/>
      <c r="D156" s="10"/>
      <c r="E156" s="10"/>
      <c r="F156" s="10"/>
      <c r="G156" s="10"/>
      <c r="H156" s="10"/>
      <c r="I156" s="10"/>
      <c r="J156" s="10"/>
      <c r="K156" s="10"/>
      <c r="L156" s="10"/>
    </row>
    <row r="157" spans="2:12" x14ac:dyDescent="0.3">
      <c r="B157" s="10"/>
      <c r="C157" s="12"/>
      <c r="D157" s="12"/>
      <c r="E157" s="12"/>
      <c r="F157" s="12"/>
      <c r="G157" s="12"/>
      <c r="H157" s="12"/>
      <c r="I157" s="10"/>
      <c r="J157" s="12"/>
      <c r="K157" s="12"/>
      <c r="L157" s="10"/>
    </row>
    <row r="158" spans="2:12" x14ac:dyDescent="0.3">
      <c r="B158" s="10"/>
      <c r="C158" s="10"/>
      <c r="D158" s="10"/>
      <c r="E158" s="10"/>
      <c r="F158" s="10"/>
      <c r="G158" s="10"/>
      <c r="H158" s="10"/>
      <c r="I158" s="10"/>
      <c r="J158" s="10"/>
      <c r="K158" s="10"/>
      <c r="L158" s="10"/>
    </row>
    <row r="159" spans="2:12" x14ac:dyDescent="0.3">
      <c r="B159" s="10"/>
      <c r="C159" s="10"/>
      <c r="D159" s="10"/>
      <c r="E159" s="10"/>
      <c r="F159" s="10"/>
      <c r="G159" s="10"/>
      <c r="H159" s="10"/>
      <c r="I159" s="10"/>
      <c r="J159" s="10"/>
      <c r="K159" s="10"/>
      <c r="L159" s="10"/>
    </row>
    <row r="160" spans="2:12" x14ac:dyDescent="0.3">
      <c r="B160" s="12"/>
      <c r="C160" s="10"/>
      <c r="D160" s="10"/>
      <c r="E160" s="10"/>
      <c r="F160" s="10"/>
      <c r="G160" s="10"/>
      <c r="H160" s="10"/>
      <c r="I160" s="10"/>
      <c r="J160" s="10"/>
      <c r="K160" s="10"/>
      <c r="L160" s="10"/>
    </row>
    <row r="161" spans="2:15" x14ac:dyDescent="0.3">
      <c r="B161" s="10"/>
      <c r="C161" s="10"/>
      <c r="D161" s="10"/>
      <c r="E161" s="10"/>
      <c r="F161" s="10"/>
      <c r="G161" s="10"/>
      <c r="H161" s="10"/>
      <c r="I161" s="10"/>
      <c r="J161" s="10"/>
      <c r="K161" s="10"/>
      <c r="L161" s="10"/>
    </row>
    <row r="166" spans="2:15" x14ac:dyDescent="0.3">
      <c r="O166" s="3"/>
    </row>
    <row r="167" spans="2:15" x14ac:dyDescent="0.3">
      <c r="H167" s="31"/>
      <c r="I167" s="31"/>
      <c r="J167" s="8"/>
      <c r="K167" s="4"/>
      <c r="L167" s="31"/>
      <c r="M167" s="31"/>
    </row>
    <row r="168" spans="2:15" x14ac:dyDescent="0.3">
      <c r="H168" s="4"/>
    </row>
    <row r="169" spans="2:15" x14ac:dyDescent="0.3">
      <c r="C169" s="5"/>
      <c r="D169" s="5"/>
      <c r="E169" s="5"/>
      <c r="F169" s="5"/>
      <c r="G169" s="5"/>
      <c r="H169" s="5"/>
      <c r="O169" s="2"/>
    </row>
    <row r="170" spans="2:15" x14ac:dyDescent="0.3">
      <c r="B170" s="5"/>
      <c r="I170" s="6"/>
      <c r="J170" s="9"/>
      <c r="K170" s="9"/>
    </row>
    <row r="171" spans="2:15" x14ac:dyDescent="0.3">
      <c r="B171" s="5"/>
      <c r="I171" s="6"/>
      <c r="J171" s="9"/>
      <c r="K171" s="9"/>
      <c r="N171" s="2"/>
    </row>
    <row r="172" spans="2:15" x14ac:dyDescent="0.3">
      <c r="B172" s="5"/>
      <c r="I172" s="6"/>
      <c r="J172" s="9"/>
      <c r="K172" s="9"/>
      <c r="M172" s="6"/>
    </row>
    <row r="173" spans="2:15" x14ac:dyDescent="0.3">
      <c r="B173" s="5"/>
      <c r="I173" s="6"/>
      <c r="J173" s="9"/>
      <c r="K173" s="9"/>
      <c r="M173" s="5"/>
    </row>
    <row r="174" spans="2:15" x14ac:dyDescent="0.3">
      <c r="B174" s="5"/>
      <c r="I174" s="6"/>
      <c r="J174" s="9"/>
      <c r="K174" s="9"/>
      <c r="M174" s="5"/>
    </row>
    <row r="175" spans="2:15" x14ac:dyDescent="0.3">
      <c r="B175" s="5"/>
      <c r="I175" s="6"/>
      <c r="J175" s="9"/>
      <c r="K175" s="9"/>
      <c r="M175" s="5"/>
    </row>
    <row r="176" spans="2:15" x14ac:dyDescent="0.3">
      <c r="C176" s="5"/>
      <c r="D176" s="6"/>
      <c r="I176" s="6"/>
      <c r="K176" s="5"/>
      <c r="L176" s="4"/>
      <c r="M176" s="5"/>
    </row>
    <row r="177" spans="3:16" x14ac:dyDescent="0.3">
      <c r="C177" s="5"/>
      <c r="D177" s="6"/>
      <c r="E177" s="6"/>
      <c r="J177" s="6"/>
      <c r="M177" s="6"/>
      <c r="N177" s="6"/>
    </row>
    <row r="178" spans="3:16" x14ac:dyDescent="0.3">
      <c r="I178" s="9"/>
    </row>
    <row r="179" spans="3:16" x14ac:dyDescent="0.3">
      <c r="I179" s="6"/>
      <c r="J179" s="6"/>
      <c r="K179" s="6"/>
      <c r="L179" s="6"/>
      <c r="N179" s="6"/>
      <c r="P179" s="6"/>
    </row>
    <row r="187" spans="3:16" x14ac:dyDescent="0.3">
      <c r="C187" s="4"/>
    </row>
    <row r="188" spans="3:16" x14ac:dyDescent="0.3">
      <c r="D188" s="4"/>
      <c r="E188" s="4"/>
      <c r="F188" s="4"/>
      <c r="G188" s="4"/>
      <c r="K188" s="4"/>
    </row>
    <row r="189" spans="3:16" x14ac:dyDescent="0.3">
      <c r="D189" s="1"/>
      <c r="E189" s="1"/>
      <c r="F189" s="1"/>
      <c r="G189" s="1"/>
    </row>
    <row r="190" spans="3:16" x14ac:dyDescent="0.3">
      <c r="D190" s="6"/>
      <c r="E190" s="6"/>
      <c r="F190" s="6"/>
      <c r="G190" s="6"/>
    </row>
    <row r="195" spans="3:5" x14ac:dyDescent="0.3">
      <c r="C195" s="4"/>
    </row>
    <row r="196" spans="3:5" x14ac:dyDescent="0.3">
      <c r="E196" s="4"/>
    </row>
    <row r="202" spans="3:5" x14ac:dyDescent="0.3">
      <c r="D202" s="6"/>
    </row>
    <row r="205" spans="3:5" x14ac:dyDescent="0.3">
      <c r="C205" s="4"/>
      <c r="D205" s="4"/>
      <c r="E205" s="4"/>
    </row>
    <row r="206" spans="3:5" x14ac:dyDescent="0.3">
      <c r="D206" s="6"/>
    </row>
    <row r="207" spans="3:5" x14ac:dyDescent="0.3">
      <c r="D207" s="6"/>
    </row>
    <row r="209" spans="2:19" x14ac:dyDescent="0.3">
      <c r="G209" s="7"/>
    </row>
    <row r="210" spans="2:19" x14ac:dyDescent="0.3">
      <c r="C210" s="5"/>
      <c r="D210" s="5"/>
      <c r="E210" s="5"/>
      <c r="F210" s="5"/>
      <c r="G210" s="5"/>
      <c r="H210" s="5"/>
      <c r="I210" s="5"/>
      <c r="J210" s="5"/>
      <c r="K210" s="5"/>
      <c r="L210" s="5"/>
      <c r="M210" s="5"/>
      <c r="N210" s="5"/>
      <c r="O210" s="5"/>
      <c r="P210" s="5"/>
      <c r="Q210" s="5"/>
      <c r="R210" s="5"/>
      <c r="S210" s="5"/>
    </row>
    <row r="211" spans="2:19" x14ac:dyDescent="0.3">
      <c r="B211" s="4"/>
      <c r="C211" s="6"/>
      <c r="D211" s="6"/>
      <c r="E211" s="6"/>
      <c r="F211" s="6"/>
      <c r="G211" s="6"/>
      <c r="H211" s="6"/>
      <c r="I211" s="6"/>
      <c r="J211" s="6"/>
      <c r="K211" s="6"/>
    </row>
    <row r="212" spans="2:19" x14ac:dyDescent="0.3">
      <c r="B212" s="5"/>
      <c r="C212" s="6"/>
      <c r="D212" s="5"/>
      <c r="E212" s="5"/>
      <c r="F212" s="5"/>
      <c r="G212" s="5"/>
    </row>
    <row r="213" spans="2:19" x14ac:dyDescent="0.3">
      <c r="B213" s="5"/>
      <c r="C213" s="6"/>
      <c r="D213" s="6"/>
      <c r="E213" s="6"/>
      <c r="F213" s="6"/>
      <c r="G213" s="6"/>
    </row>
    <row r="214" spans="2:19" x14ac:dyDescent="0.3">
      <c r="B214" s="5"/>
      <c r="C214" s="6"/>
      <c r="D214" s="6"/>
      <c r="E214" s="6"/>
      <c r="F214" s="6"/>
      <c r="G214" s="6"/>
    </row>
    <row r="215" spans="2:19" x14ac:dyDescent="0.3">
      <c r="B215" s="5"/>
    </row>
    <row r="216" spans="2:19" x14ac:dyDescent="0.3">
      <c r="B216" s="5"/>
    </row>
    <row r="217" spans="2:19" x14ac:dyDescent="0.3">
      <c r="B217" s="5"/>
    </row>
    <row r="218" spans="2:19" x14ac:dyDescent="0.3">
      <c r="B218" s="5"/>
    </row>
    <row r="219" spans="2:19" x14ac:dyDescent="0.3">
      <c r="B219" s="5"/>
    </row>
    <row r="220" spans="2:19" x14ac:dyDescent="0.3">
      <c r="B220" s="5"/>
    </row>
    <row r="221" spans="2:19" x14ac:dyDescent="0.3">
      <c r="B221" s="5"/>
    </row>
    <row r="222" spans="2:19" x14ac:dyDescent="0.3">
      <c r="B222" s="5"/>
    </row>
    <row r="223" spans="2:19" x14ac:dyDescent="0.3">
      <c r="B223" s="5"/>
    </row>
    <row r="224" spans="2:19" x14ac:dyDescent="0.3">
      <c r="B224" s="5"/>
    </row>
    <row r="225" spans="2:11" x14ac:dyDescent="0.3">
      <c r="B225" s="5"/>
    </row>
    <row r="240" spans="2:11" x14ac:dyDescent="0.3">
      <c r="B240" s="5"/>
      <c r="C240" s="5"/>
      <c r="D240" s="5"/>
      <c r="E240" s="5"/>
      <c r="F240" s="5"/>
      <c r="G240" s="5"/>
      <c r="H240" s="5"/>
      <c r="I240" s="5"/>
      <c r="J240" s="5"/>
      <c r="K240" s="5"/>
    </row>
    <row r="241" spans="1:11" x14ac:dyDescent="0.3">
      <c r="A241" s="5"/>
    </row>
    <row r="242" spans="1:11" x14ac:dyDescent="0.3">
      <c r="A242" s="5"/>
    </row>
    <row r="243" spans="1:11" x14ac:dyDescent="0.3">
      <c r="A243" s="5"/>
    </row>
    <row r="244" spans="1:11" x14ac:dyDescent="0.3">
      <c r="A244" s="5"/>
    </row>
    <row r="245" spans="1:11" x14ac:dyDescent="0.3">
      <c r="A245" s="5"/>
    </row>
    <row r="246" spans="1:11" x14ac:dyDescent="0.3">
      <c r="A246" s="5"/>
    </row>
    <row r="247" spans="1:11" x14ac:dyDescent="0.3">
      <c r="A247" s="5"/>
    </row>
    <row r="248" spans="1:11" x14ac:dyDescent="0.3">
      <c r="A248" s="5"/>
    </row>
    <row r="249" spans="1:11" x14ac:dyDescent="0.3">
      <c r="A249" s="5"/>
    </row>
    <row r="250" spans="1:11" x14ac:dyDescent="0.3">
      <c r="A250" s="5"/>
    </row>
    <row r="256" spans="1:11" x14ac:dyDescent="0.3">
      <c r="B256" s="5"/>
      <c r="C256" s="5"/>
      <c r="D256" s="5"/>
      <c r="E256" s="5"/>
      <c r="F256" s="5"/>
      <c r="G256" s="5"/>
      <c r="H256" s="5"/>
      <c r="I256" s="5"/>
      <c r="J256" s="5"/>
      <c r="K256" s="5"/>
    </row>
    <row r="257" spans="1:11" x14ac:dyDescent="0.3">
      <c r="A257" s="5"/>
    </row>
    <row r="258" spans="1:11" x14ac:dyDescent="0.3">
      <c r="A258" s="5"/>
    </row>
    <row r="259" spans="1:11" x14ac:dyDescent="0.3">
      <c r="A259" s="5"/>
    </row>
    <row r="260" spans="1:11" x14ac:dyDescent="0.3">
      <c r="A260" s="5"/>
    </row>
    <row r="261" spans="1:11" x14ac:dyDescent="0.3">
      <c r="A261" s="5"/>
    </row>
    <row r="262" spans="1:11" x14ac:dyDescent="0.3">
      <c r="A262" s="5"/>
    </row>
    <row r="263" spans="1:11" x14ac:dyDescent="0.3">
      <c r="A263" s="5"/>
    </row>
    <row r="264" spans="1:11" x14ac:dyDescent="0.3">
      <c r="A264" s="5"/>
    </row>
    <row r="265" spans="1:11" x14ac:dyDescent="0.3">
      <c r="A265" s="5"/>
    </row>
    <row r="266" spans="1:11" x14ac:dyDescent="0.3">
      <c r="A266" s="5"/>
    </row>
    <row r="272" spans="1:11" x14ac:dyDescent="0.3">
      <c r="B272" s="5"/>
      <c r="C272" s="5"/>
      <c r="D272" s="5"/>
      <c r="E272" s="5"/>
      <c r="F272" s="5"/>
      <c r="G272" s="5"/>
      <c r="H272" s="5"/>
      <c r="I272" s="5"/>
      <c r="J272" s="5"/>
      <c r="K272" s="5"/>
    </row>
    <row r="273" spans="1:1" x14ac:dyDescent="0.3">
      <c r="A273" s="5"/>
    </row>
    <row r="274" spans="1:1" x14ac:dyDescent="0.3">
      <c r="A274" s="5"/>
    </row>
    <row r="275" spans="1:1" x14ac:dyDescent="0.3">
      <c r="A275" s="5"/>
    </row>
    <row r="276" spans="1:1" x14ac:dyDescent="0.3">
      <c r="A276" s="5"/>
    </row>
    <row r="277" spans="1:1" x14ac:dyDescent="0.3">
      <c r="A277" s="5"/>
    </row>
    <row r="278" spans="1:1" x14ac:dyDescent="0.3">
      <c r="A278" s="5"/>
    </row>
    <row r="279" spans="1:1" x14ac:dyDescent="0.3">
      <c r="A279" s="5"/>
    </row>
    <row r="280" spans="1:1" x14ac:dyDescent="0.3">
      <c r="A280" s="5"/>
    </row>
    <row r="281" spans="1:1" x14ac:dyDescent="0.3">
      <c r="A281" s="5"/>
    </row>
    <row r="282" spans="1:1" x14ac:dyDescent="0.3">
      <c r="A282" s="5"/>
    </row>
    <row r="303" spans="1:2" x14ac:dyDescent="0.3">
      <c r="A303" s="4"/>
      <c r="B303" s="4"/>
    </row>
    <row r="305" spans="1:11" x14ac:dyDescent="0.3">
      <c r="B305" s="5"/>
      <c r="C305" s="5"/>
      <c r="D305" s="5"/>
      <c r="E305" s="5"/>
      <c r="F305" s="5"/>
      <c r="G305" s="5"/>
      <c r="H305" s="5"/>
      <c r="I305" s="5"/>
      <c r="J305" s="5"/>
      <c r="K305" s="5"/>
    </row>
    <row r="306" spans="1:11" x14ac:dyDescent="0.3">
      <c r="A306" s="5"/>
    </row>
    <row r="307" spans="1:11" x14ac:dyDescent="0.3">
      <c r="A307" s="5"/>
    </row>
    <row r="308" spans="1:11" x14ac:dyDescent="0.3">
      <c r="A308" s="5"/>
    </row>
    <row r="309" spans="1:11" x14ac:dyDescent="0.3">
      <c r="A309" s="5"/>
    </row>
    <row r="310" spans="1:11" x14ac:dyDescent="0.3">
      <c r="A310" s="5"/>
    </row>
    <row r="311" spans="1:11" x14ac:dyDescent="0.3">
      <c r="A311" s="5"/>
    </row>
    <row r="312" spans="1:11" x14ac:dyDescent="0.3">
      <c r="A312" s="5"/>
    </row>
    <row r="313" spans="1:11" x14ac:dyDescent="0.3">
      <c r="A313" s="5"/>
    </row>
    <row r="314" spans="1:11" x14ac:dyDescent="0.3">
      <c r="A314" s="5"/>
    </row>
    <row r="315" spans="1:11" x14ac:dyDescent="0.3">
      <c r="A315" s="5"/>
    </row>
    <row r="325" spans="3:5" x14ac:dyDescent="0.3">
      <c r="C325" s="4"/>
    </row>
    <row r="326" spans="3:5" x14ac:dyDescent="0.3">
      <c r="E326" s="4"/>
    </row>
    <row r="332" spans="3:5" x14ac:dyDescent="0.3">
      <c r="D332" s="6"/>
    </row>
    <row r="335" spans="3:5" x14ac:dyDescent="0.3">
      <c r="C335" s="4"/>
      <c r="D335" s="4"/>
      <c r="E335" s="4"/>
    </row>
    <row r="336" spans="3:5" x14ac:dyDescent="0.3">
      <c r="D336" s="6"/>
    </row>
    <row r="337" spans="2:15" x14ac:dyDescent="0.3">
      <c r="D337" s="6"/>
    </row>
    <row r="339" spans="2:15" x14ac:dyDescent="0.3">
      <c r="G339" s="7"/>
    </row>
    <row r="340" spans="2:15" x14ac:dyDescent="0.3">
      <c r="C340" s="5"/>
      <c r="D340" s="5"/>
      <c r="E340" s="5"/>
      <c r="F340" s="5"/>
      <c r="G340" s="5"/>
      <c r="H340" s="5"/>
      <c r="I340" s="5"/>
      <c r="J340" s="5"/>
      <c r="K340" s="5"/>
      <c r="L340" s="5"/>
    </row>
    <row r="341" spans="2:15" x14ac:dyDescent="0.3">
      <c r="C341" s="6"/>
      <c r="D341" s="6"/>
      <c r="E341" s="6"/>
      <c r="F341" s="6"/>
      <c r="G341" s="6"/>
      <c r="H341" s="6"/>
      <c r="I341" s="6"/>
      <c r="J341" s="6"/>
      <c r="K341" s="6"/>
      <c r="L341" s="6"/>
    </row>
    <row r="342" spans="2:15" x14ac:dyDescent="0.3">
      <c r="C342" s="5"/>
      <c r="D342" s="5"/>
      <c r="E342" s="5"/>
      <c r="F342" s="5"/>
      <c r="G342" s="5"/>
      <c r="H342" s="5"/>
      <c r="I342" s="5"/>
      <c r="J342" s="5"/>
      <c r="K342" s="5"/>
      <c r="L342" s="5"/>
    </row>
    <row r="343" spans="2:15" x14ac:dyDescent="0.3">
      <c r="C343" s="6"/>
      <c r="D343" s="6"/>
      <c r="E343" s="6"/>
      <c r="F343" s="6"/>
      <c r="G343" s="6"/>
      <c r="H343" s="6"/>
      <c r="I343" s="6"/>
      <c r="J343" s="6"/>
      <c r="K343" s="6"/>
      <c r="L343" s="6"/>
    </row>
    <row r="344" spans="2:15" x14ac:dyDescent="0.3">
      <c r="C344" s="6"/>
      <c r="D344" s="6"/>
      <c r="E344" s="6"/>
      <c r="F344" s="6"/>
      <c r="G344" s="6"/>
      <c r="H344" s="6"/>
      <c r="I344" s="6"/>
      <c r="J344" s="6"/>
      <c r="K344" s="6"/>
      <c r="L344" s="6"/>
    </row>
    <row r="345" spans="2:15" x14ac:dyDescent="0.3">
      <c r="B345" s="5"/>
    </row>
    <row r="351" spans="2:15" x14ac:dyDescent="0.3">
      <c r="O351" s="3"/>
    </row>
    <row r="352" spans="2:15" x14ac:dyDescent="0.3">
      <c r="H352" s="31"/>
      <c r="I352" s="31"/>
      <c r="J352" s="31"/>
      <c r="K352" s="31"/>
      <c r="L352" s="4"/>
      <c r="M352" s="4"/>
      <c r="N352" s="31"/>
      <c r="O352" s="31"/>
    </row>
    <row r="353" spans="3:16" x14ac:dyDescent="0.3">
      <c r="H353" s="4"/>
    </row>
    <row r="354" spans="3:16" x14ac:dyDescent="0.3">
      <c r="F354" s="5"/>
      <c r="O354" s="2"/>
    </row>
    <row r="355" spans="3:16" x14ac:dyDescent="0.3">
      <c r="C355" s="5"/>
      <c r="D355" s="6"/>
      <c r="E355" s="6"/>
      <c r="H355" s="4"/>
      <c r="J355" s="4"/>
      <c r="L355" s="6"/>
    </row>
    <row r="356" spans="3:16" x14ac:dyDescent="0.3">
      <c r="C356" s="5"/>
      <c r="D356" s="6"/>
      <c r="E356" s="6"/>
      <c r="H356" s="4"/>
      <c r="J356" s="5"/>
      <c r="L356" s="6"/>
      <c r="O356" s="2"/>
    </row>
    <row r="357" spans="3:16" x14ac:dyDescent="0.3">
      <c r="C357" s="5"/>
      <c r="D357" s="6"/>
      <c r="E357" s="6"/>
      <c r="H357" s="4"/>
      <c r="J357" s="5"/>
      <c r="L357" s="6"/>
      <c r="M357" s="6"/>
      <c r="N357" s="6"/>
    </row>
    <row r="358" spans="3:16" x14ac:dyDescent="0.3">
      <c r="C358" s="5"/>
      <c r="D358" s="6"/>
      <c r="E358" s="6"/>
      <c r="H358" s="4"/>
      <c r="J358" s="5"/>
      <c r="L358" s="5"/>
      <c r="N358" s="5"/>
    </row>
    <row r="359" spans="3:16" x14ac:dyDescent="0.3">
      <c r="C359" s="5"/>
      <c r="D359" s="6"/>
      <c r="E359" s="6"/>
      <c r="H359" s="4"/>
      <c r="J359" s="5"/>
      <c r="L359" s="5"/>
      <c r="N359" s="5"/>
    </row>
    <row r="360" spans="3:16" x14ac:dyDescent="0.3">
      <c r="C360" s="5"/>
      <c r="D360" s="6"/>
      <c r="E360" s="6"/>
      <c r="H360" s="4"/>
      <c r="J360" s="5"/>
      <c r="L360" s="5"/>
      <c r="N360" s="5"/>
    </row>
    <row r="361" spans="3:16" x14ac:dyDescent="0.3">
      <c r="C361" s="5"/>
      <c r="D361" s="6"/>
      <c r="E361" s="6"/>
      <c r="H361" s="4"/>
      <c r="J361" s="5"/>
      <c r="L361" s="5"/>
      <c r="N361" s="5"/>
    </row>
    <row r="362" spans="3:16" x14ac:dyDescent="0.3">
      <c r="C362" s="5"/>
      <c r="D362" s="6"/>
      <c r="E362" s="6"/>
      <c r="H362" s="4"/>
      <c r="J362" s="5"/>
      <c r="L362" s="6"/>
      <c r="M362" s="6"/>
      <c r="N362" s="6"/>
    </row>
    <row r="363" spans="3:16" x14ac:dyDescent="0.3">
      <c r="C363" s="5"/>
      <c r="D363" s="6"/>
      <c r="E363" s="6"/>
      <c r="H363" s="5"/>
      <c r="J363" s="5"/>
      <c r="L363" s="6"/>
      <c r="O363" s="3"/>
    </row>
    <row r="364" spans="3:16" x14ac:dyDescent="0.3">
      <c r="C364" s="5"/>
      <c r="D364" s="6"/>
      <c r="E364" s="6"/>
      <c r="J364" s="5"/>
      <c r="L364" s="6"/>
      <c r="O364" s="2"/>
    </row>
    <row r="365" spans="3:16" x14ac:dyDescent="0.3">
      <c r="C365" s="5"/>
      <c r="L365" s="6"/>
    </row>
    <row r="366" spans="3:16" x14ac:dyDescent="0.3">
      <c r="G366" s="6"/>
      <c r="H366" s="6"/>
      <c r="I366" s="6"/>
      <c r="J366" s="6"/>
      <c r="K366" s="6"/>
      <c r="L366" s="6"/>
      <c r="M366" s="6"/>
      <c r="N366" s="6"/>
      <c r="O366" s="6"/>
      <c r="P366" s="6"/>
    </row>
  </sheetData>
  <mergeCells count="8">
    <mergeCell ref="N352:O352"/>
    <mergeCell ref="N93:O93"/>
    <mergeCell ref="H167:I167"/>
    <mergeCell ref="L167:M167"/>
    <mergeCell ref="H93:I93"/>
    <mergeCell ref="J93:K93"/>
    <mergeCell ref="H352:I352"/>
    <mergeCell ref="J352:K352"/>
  </mergeCells>
  <phoneticPr fontId="2" type="noConversion"/>
  <conditionalFormatting sqref="C138:L147">
    <cfRule type="colorScale" priority="3">
      <colorScale>
        <cfvo type="num" val="-0.1"/>
        <cfvo type="num" val="0"/>
        <cfvo type="num" val="0.1"/>
        <color rgb="FF0070C0"/>
        <color theme="0"/>
        <color rgb="FFC00000"/>
      </colorScale>
    </cfRule>
  </conditionalFormatting>
  <conditionalFormatting sqref="B27:K36">
    <cfRule type="colorScale" priority="2">
      <colorScale>
        <cfvo type="num" val="-0.1"/>
        <cfvo type="num" val="0"/>
        <cfvo type="num" val="0.1"/>
        <color rgb="FF00B0F0"/>
        <color theme="0"/>
        <color rgb="FFFF0000"/>
      </colorScale>
    </cfRule>
  </conditionalFormatting>
  <conditionalFormatting sqref="B47:K56">
    <cfRule type="colorScale" priority="1">
      <colorScale>
        <cfvo type="num" val="-0.1"/>
        <cfvo type="num" val="0"/>
        <cfvo type="num" val="0.1"/>
        <color rgb="FF00B0F0"/>
        <color theme="0"/>
        <color rgb="FFFF0000"/>
      </colorScale>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94AE78-C1E1-4E62-96E1-FD80EB7CC24C}">
  <dimension ref="A17:AN159"/>
  <sheetViews>
    <sheetView topLeftCell="A133" workbookViewId="0">
      <selection activeCell="A55" sqref="A55"/>
    </sheetView>
  </sheetViews>
  <sheetFormatPr defaultRowHeight="14.4" x14ac:dyDescent="0.3"/>
  <cols>
    <col min="1" max="1" width="36.5546875" customWidth="1"/>
    <col min="2" max="2" width="10.6640625" customWidth="1"/>
    <col min="3" max="3" width="12.5546875" customWidth="1"/>
    <col min="4" max="4" width="17.88671875" customWidth="1"/>
    <col min="5" max="5" width="9.88671875" customWidth="1"/>
    <col min="6" max="6" width="11.88671875" customWidth="1"/>
    <col min="7" max="7" width="12.5546875" customWidth="1"/>
    <col min="8" max="8" width="10.77734375" customWidth="1"/>
    <col min="9" max="9" width="11.88671875" customWidth="1"/>
    <col min="10" max="10" width="18.6640625" customWidth="1"/>
    <col min="11" max="11" width="11.88671875" customWidth="1"/>
    <col min="12" max="12" width="13.6640625" bestFit="1" customWidth="1"/>
    <col min="13" max="13" width="14.88671875" customWidth="1"/>
    <col min="14" max="14" width="16.33203125" customWidth="1"/>
    <col min="15" max="15" width="19.109375" customWidth="1"/>
    <col min="16" max="16" width="13.6640625" bestFit="1" customWidth="1"/>
    <col min="17" max="17" width="10.77734375" customWidth="1"/>
    <col min="18" max="18" width="10.109375" customWidth="1"/>
    <col min="19" max="19" width="10.44140625" customWidth="1"/>
    <col min="20" max="20" width="9.6640625" customWidth="1"/>
    <col min="21" max="21" width="10.5546875" customWidth="1"/>
    <col min="22" max="22" width="10.6640625" customWidth="1"/>
    <col min="23" max="23" width="11.5546875" customWidth="1"/>
    <col min="25" max="34" width="9.21875" bestFit="1" customWidth="1"/>
  </cols>
  <sheetData>
    <row r="17" spans="3:9" x14ac:dyDescent="0.3">
      <c r="C17" s="4" t="s">
        <v>27</v>
      </c>
    </row>
    <row r="19" spans="3:9" x14ac:dyDescent="0.3">
      <c r="C19" t="s">
        <v>48</v>
      </c>
      <c r="E19">
        <v>52</v>
      </c>
    </row>
    <row r="20" spans="3:9" x14ac:dyDescent="0.3">
      <c r="C20" t="s">
        <v>9</v>
      </c>
      <c r="E20">
        <v>27</v>
      </c>
    </row>
    <row r="21" spans="3:9" x14ac:dyDescent="0.3">
      <c r="C21" t="s">
        <v>55</v>
      </c>
      <c r="E21">
        <v>-20</v>
      </c>
    </row>
    <row r="22" spans="3:9" x14ac:dyDescent="0.3">
      <c r="C22" t="s">
        <v>11</v>
      </c>
      <c r="E22">
        <v>5</v>
      </c>
      <c r="F22">
        <v>169.5</v>
      </c>
      <c r="H22" t="s">
        <v>94</v>
      </c>
      <c r="I22">
        <v>1.46</v>
      </c>
    </row>
    <row r="23" spans="3:9" x14ac:dyDescent="0.3">
      <c r="C23" t="s">
        <v>12</v>
      </c>
      <c r="E23">
        <f>E20+E22</f>
        <v>32</v>
      </c>
      <c r="F23">
        <f>F22+E20</f>
        <v>196.5</v>
      </c>
    </row>
    <row r="24" spans="3:9" x14ac:dyDescent="0.3">
      <c r="C24" t="s">
        <v>33</v>
      </c>
      <c r="D24" s="6"/>
      <c r="E24">
        <v>325</v>
      </c>
    </row>
    <row r="25" spans="3:9" x14ac:dyDescent="0.3">
      <c r="C25" t="s">
        <v>85</v>
      </c>
      <c r="E25">
        <v>27</v>
      </c>
    </row>
    <row r="26" spans="3:9" x14ac:dyDescent="0.3">
      <c r="C26" t="s">
        <v>86</v>
      </c>
      <c r="E26">
        <v>12</v>
      </c>
    </row>
    <row r="27" spans="3:9" x14ac:dyDescent="0.3">
      <c r="C27" t="s">
        <v>87</v>
      </c>
      <c r="E27">
        <v>210</v>
      </c>
    </row>
    <row r="28" spans="3:9" x14ac:dyDescent="0.3">
      <c r="C28" t="s">
        <v>88</v>
      </c>
      <c r="E28">
        <v>205</v>
      </c>
    </row>
    <row r="29" spans="3:9" x14ac:dyDescent="0.3">
      <c r="C29" t="s">
        <v>80</v>
      </c>
      <c r="E29">
        <v>10</v>
      </c>
    </row>
    <row r="30" spans="3:9" x14ac:dyDescent="0.3">
      <c r="C30" s="4" t="s">
        <v>31</v>
      </c>
      <c r="D30" s="4" t="s">
        <v>2</v>
      </c>
      <c r="E30" s="4" t="s">
        <v>3</v>
      </c>
    </row>
    <row r="31" spans="3:9" x14ac:dyDescent="0.3">
      <c r="C31" t="s">
        <v>52</v>
      </c>
      <c r="D31" s="6">
        <f>E27-E20</f>
        <v>183</v>
      </c>
      <c r="E31">
        <f>D31/($E$29-1)</f>
        <v>20.333333333333332</v>
      </c>
    </row>
    <row r="32" spans="3:9" x14ac:dyDescent="0.3">
      <c r="C32" t="s">
        <v>53</v>
      </c>
      <c r="D32" s="6">
        <f>E28-12</f>
        <v>193</v>
      </c>
      <c r="E32">
        <f>D32/($E$29-1)</f>
        <v>21.444444444444443</v>
      </c>
    </row>
    <row r="33" spans="1:14" ht="28.8" x14ac:dyDescent="0.3">
      <c r="A33" t="s">
        <v>74</v>
      </c>
      <c r="G33" s="7" t="s">
        <v>20</v>
      </c>
    </row>
    <row r="34" spans="1:14" x14ac:dyDescent="0.3">
      <c r="A34" t="s">
        <v>14</v>
      </c>
      <c r="C34" s="5">
        <f>E26</f>
        <v>12</v>
      </c>
      <c r="D34" s="5">
        <f>C34+$E$32</f>
        <v>33.444444444444443</v>
      </c>
      <c r="E34" s="5">
        <f t="shared" ref="E34:L34" si="0">D34+$E$32</f>
        <v>54.888888888888886</v>
      </c>
      <c r="F34" s="5">
        <f t="shared" si="0"/>
        <v>76.333333333333329</v>
      </c>
      <c r="G34" s="5">
        <f t="shared" si="0"/>
        <v>97.777777777777771</v>
      </c>
      <c r="H34" s="5">
        <f t="shared" si="0"/>
        <v>119.22222222222221</v>
      </c>
      <c r="I34" s="5">
        <f t="shared" si="0"/>
        <v>140.66666666666666</v>
      </c>
      <c r="J34" s="5">
        <f t="shared" si="0"/>
        <v>162.11111111111109</v>
      </c>
      <c r="K34" s="5">
        <f t="shared" si="0"/>
        <v>183.55555555555554</v>
      </c>
      <c r="L34" s="5">
        <f t="shared" si="0"/>
        <v>205</v>
      </c>
    </row>
    <row r="35" spans="1:14" x14ac:dyDescent="0.3">
      <c r="A35" t="s">
        <v>16</v>
      </c>
      <c r="C35" s="6">
        <f t="shared" ref="C35:L35" si="1">C34-$C$34</f>
        <v>0</v>
      </c>
      <c r="D35" s="6">
        <f t="shared" si="1"/>
        <v>21.444444444444443</v>
      </c>
      <c r="E35" s="6">
        <f t="shared" si="1"/>
        <v>42.888888888888886</v>
      </c>
      <c r="F35" s="6">
        <f t="shared" si="1"/>
        <v>64.333333333333329</v>
      </c>
      <c r="G35" s="6">
        <f t="shared" si="1"/>
        <v>85.777777777777771</v>
      </c>
      <c r="H35" s="6">
        <f t="shared" si="1"/>
        <v>107.22222222222221</v>
      </c>
      <c r="I35" s="6">
        <f t="shared" si="1"/>
        <v>128.66666666666666</v>
      </c>
      <c r="J35" s="6">
        <f t="shared" si="1"/>
        <v>150.11111111111109</v>
      </c>
      <c r="K35" s="6">
        <f t="shared" si="1"/>
        <v>171.55555555555554</v>
      </c>
      <c r="L35" s="6">
        <f t="shared" si="1"/>
        <v>193</v>
      </c>
    </row>
    <row r="36" spans="1:14" x14ac:dyDescent="0.3">
      <c r="A36" t="s">
        <v>13</v>
      </c>
      <c r="C36" s="5">
        <f>E25</f>
        <v>27</v>
      </c>
      <c r="D36" s="5">
        <f>C36+$E$31</f>
        <v>47.333333333333329</v>
      </c>
      <c r="E36" s="5">
        <f t="shared" ref="E36:L36" si="2">D36+$E$31</f>
        <v>67.666666666666657</v>
      </c>
      <c r="F36" s="5">
        <f t="shared" si="2"/>
        <v>87.999999999999986</v>
      </c>
      <c r="G36" s="5">
        <f t="shared" si="2"/>
        <v>108.33333333333331</v>
      </c>
      <c r="H36" s="5">
        <f t="shared" si="2"/>
        <v>128.66666666666666</v>
      </c>
      <c r="I36" s="5">
        <f t="shared" si="2"/>
        <v>149</v>
      </c>
      <c r="J36" s="5">
        <f t="shared" si="2"/>
        <v>169.33333333333334</v>
      </c>
      <c r="K36" s="5">
        <f t="shared" si="2"/>
        <v>189.66666666666669</v>
      </c>
      <c r="L36" s="5">
        <f t="shared" si="2"/>
        <v>210.00000000000003</v>
      </c>
    </row>
    <row r="37" spans="1:14" x14ac:dyDescent="0.3">
      <c r="A37" t="s">
        <v>15</v>
      </c>
      <c r="C37" s="6">
        <f t="shared" ref="C37:L37" si="3">C36-$C$36</f>
        <v>0</v>
      </c>
      <c r="D37" s="6">
        <f t="shared" si="3"/>
        <v>20.333333333333329</v>
      </c>
      <c r="E37" s="6">
        <f t="shared" si="3"/>
        <v>40.666666666666657</v>
      </c>
      <c r="F37" s="6">
        <f t="shared" si="3"/>
        <v>60.999999999999986</v>
      </c>
      <c r="G37" s="6">
        <f t="shared" si="3"/>
        <v>81.333333333333314</v>
      </c>
      <c r="H37" s="6">
        <f t="shared" si="3"/>
        <v>101.66666666666666</v>
      </c>
      <c r="I37" s="6">
        <f t="shared" si="3"/>
        <v>122</v>
      </c>
      <c r="J37" s="6">
        <f t="shared" si="3"/>
        <v>142.33333333333334</v>
      </c>
      <c r="K37" s="6">
        <f t="shared" si="3"/>
        <v>162.66666666666669</v>
      </c>
      <c r="L37" s="6">
        <f t="shared" si="3"/>
        <v>183.00000000000003</v>
      </c>
    </row>
    <row r="38" spans="1:14" x14ac:dyDescent="0.3">
      <c r="A38" t="s">
        <v>17</v>
      </c>
      <c r="C38" s="6">
        <f t="shared" ref="C38:L38" si="4">C36+$E$19</f>
        <v>79</v>
      </c>
      <c r="D38" s="6">
        <f t="shared" si="4"/>
        <v>99.333333333333329</v>
      </c>
      <c r="E38" s="6">
        <f t="shared" si="4"/>
        <v>119.66666666666666</v>
      </c>
      <c r="F38" s="6">
        <f t="shared" si="4"/>
        <v>140</v>
      </c>
      <c r="G38" s="6">
        <f t="shared" si="4"/>
        <v>160.33333333333331</v>
      </c>
      <c r="H38" s="6">
        <f t="shared" si="4"/>
        <v>180.66666666666666</v>
      </c>
      <c r="I38" s="6">
        <f t="shared" si="4"/>
        <v>201</v>
      </c>
      <c r="J38" s="6">
        <f t="shared" si="4"/>
        <v>221.33333333333334</v>
      </c>
      <c r="K38" s="6">
        <f t="shared" si="4"/>
        <v>241.66666666666669</v>
      </c>
      <c r="L38" s="6">
        <f t="shared" si="4"/>
        <v>262</v>
      </c>
    </row>
    <row r="40" spans="1:14" x14ac:dyDescent="0.3">
      <c r="A40" s="4" t="s">
        <v>76</v>
      </c>
    </row>
    <row r="41" spans="1:14" x14ac:dyDescent="0.3">
      <c r="A41" t="s">
        <v>57</v>
      </c>
      <c r="B41" t="s">
        <v>114</v>
      </c>
    </row>
    <row r="42" spans="1:14" x14ac:dyDescent="0.3">
      <c r="A42" s="4" t="s">
        <v>57</v>
      </c>
      <c r="B42" s="4" t="s">
        <v>56</v>
      </c>
      <c r="C42" t="s">
        <v>54</v>
      </c>
    </row>
    <row r="43" spans="1:14" x14ac:dyDescent="0.3">
      <c r="A43" s="4" t="s">
        <v>40</v>
      </c>
      <c r="B43" s="4" t="s">
        <v>82</v>
      </c>
      <c r="C43" s="4" t="s">
        <v>89</v>
      </c>
      <c r="K43" s="4" t="s">
        <v>84</v>
      </c>
      <c r="L43" s="4" t="s">
        <v>44</v>
      </c>
      <c r="M43" s="4" t="s">
        <v>68</v>
      </c>
      <c r="N43" s="4" t="s">
        <v>46</v>
      </c>
    </row>
    <row r="44" spans="1:14" x14ac:dyDescent="0.3">
      <c r="A44" s="4"/>
      <c r="B44" s="5">
        <v>27</v>
      </c>
      <c r="C44" s="5">
        <v>47.333333333333329</v>
      </c>
      <c r="D44" s="5">
        <v>67.666666666666657</v>
      </c>
      <c r="E44" s="5">
        <v>87.999999999999986</v>
      </c>
      <c r="F44" s="5">
        <v>108.33333333333331</v>
      </c>
      <c r="G44" s="5">
        <v>128.66666666666666</v>
      </c>
      <c r="H44" s="5">
        <v>149</v>
      </c>
      <c r="I44" s="5">
        <v>169.33333333333334</v>
      </c>
      <c r="J44" s="5">
        <v>189.66666666666669</v>
      </c>
      <c r="K44" s="5">
        <v>210</v>
      </c>
    </row>
    <row r="45" spans="1:14" x14ac:dyDescent="0.3">
      <c r="A45" s="5">
        <v>12</v>
      </c>
      <c r="B45" s="10">
        <f>-0.039167</f>
        <v>-3.9167E-2</v>
      </c>
      <c r="C45" s="10">
        <v>-5.4167E-2</v>
      </c>
      <c r="D45" s="10">
        <v>-0.111667</v>
      </c>
      <c r="E45" s="10">
        <v>-0.1</v>
      </c>
      <c r="F45" s="10">
        <v>-0.129583</v>
      </c>
      <c r="G45" s="10">
        <v>-0.10875</v>
      </c>
      <c r="H45" s="10">
        <v>-0.11708300000000001</v>
      </c>
      <c r="I45" s="10">
        <v>-0.11125</v>
      </c>
      <c r="J45" s="10">
        <v>-0.104167</v>
      </c>
      <c r="K45" s="10">
        <v>-9.1666999999999998E-2</v>
      </c>
      <c r="L45">
        <f>SLOPE(B45:K45,$B$44:$K$44)</f>
        <v>-2.5360089418777936E-4</v>
      </c>
      <c r="M45">
        <f>L45*($K$44-$B$44)</f>
        <v>-4.6408963636363626E-2</v>
      </c>
      <c r="N45">
        <f t="shared" ref="N45:N54" si="5">AVERAGE(B45:K45)</f>
        <v>-9.6750099999999992E-2</v>
      </c>
    </row>
    <row r="46" spans="1:14" x14ac:dyDescent="0.3">
      <c r="A46" s="5">
        <v>33.444444444444443</v>
      </c>
      <c r="B46" s="10">
        <f>-0.039167</f>
        <v>-3.9167E-2</v>
      </c>
      <c r="C46" s="10">
        <v>-4.2083000000000002E-2</v>
      </c>
      <c r="D46" s="10">
        <v>-0.1</v>
      </c>
      <c r="E46" s="10">
        <v>-8.6249999999999993E-2</v>
      </c>
      <c r="F46" s="10">
        <v>-0.104167</v>
      </c>
      <c r="G46" s="10">
        <v>-9.375E-2</v>
      </c>
      <c r="H46" s="10">
        <v>-0.104167</v>
      </c>
      <c r="I46" s="10">
        <v>-9.0832999999999997E-2</v>
      </c>
      <c r="J46" s="10">
        <v>-8.0833000000000002E-2</v>
      </c>
      <c r="K46" s="10">
        <v>-9.0832999999999997E-2</v>
      </c>
      <c r="L46">
        <f t="shared" ref="L46:L54" si="6">SLOPE(B46:K46,$B$44:$K$44)</f>
        <v>-2.1870134128166907E-4</v>
      </c>
      <c r="M46">
        <f t="shared" ref="M46:M54" si="7">L46*($K$44-$B$44)</f>
        <v>-4.0022345454545437E-2</v>
      </c>
      <c r="N46">
        <f t="shared" si="5"/>
        <v>-8.3208300000000013E-2</v>
      </c>
    </row>
    <row r="47" spans="1:14" x14ac:dyDescent="0.3">
      <c r="A47" s="5">
        <v>54.888888888888886</v>
      </c>
      <c r="B47" s="10">
        <v>1.0833000000000001E-2</v>
      </c>
      <c r="C47" s="10">
        <v>1.2500000000000001E-2</v>
      </c>
      <c r="D47" s="10">
        <v>-4.5832999999999999E-2</v>
      </c>
      <c r="E47" s="10">
        <v>-4.4166999999999998E-2</v>
      </c>
      <c r="F47" s="10">
        <v>-7.6249999999999998E-2</v>
      </c>
      <c r="G47" s="10">
        <v>-6.3333E-2</v>
      </c>
      <c r="H47" s="10">
        <v>-8.5417000000000007E-2</v>
      </c>
      <c r="I47" s="10">
        <v>-7.2916999999999996E-2</v>
      </c>
      <c r="J47" s="10">
        <v>-7.4582999999999997E-2</v>
      </c>
      <c r="K47" s="10">
        <v>-4.0417000000000002E-2</v>
      </c>
      <c r="L47">
        <f t="shared" si="6"/>
        <v>-3.9257347242921013E-4</v>
      </c>
      <c r="M47">
        <f t="shared" si="7"/>
        <v>-7.184094545454546E-2</v>
      </c>
      <c r="N47">
        <f t="shared" si="5"/>
        <v>-4.7958399999999998E-2</v>
      </c>
    </row>
    <row r="48" spans="1:14" x14ac:dyDescent="0.3">
      <c r="A48" s="5">
        <v>76.333333333333329</v>
      </c>
      <c r="B48" s="10">
        <v>1.9583E-2</v>
      </c>
      <c r="C48" s="10">
        <v>9.5829999999999995E-3</v>
      </c>
      <c r="D48" s="10">
        <v>-2.7917000000000001E-2</v>
      </c>
      <c r="E48" s="10">
        <v>-1.7916999999999999E-2</v>
      </c>
      <c r="F48" s="10">
        <v>-5.5417000000000001E-2</v>
      </c>
      <c r="G48" s="10">
        <v>-4.5416999999999999E-2</v>
      </c>
      <c r="H48" s="10">
        <v>-7.0000000000000007E-2</v>
      </c>
      <c r="I48" s="10">
        <v>-5.9582999999999997E-2</v>
      </c>
      <c r="J48" s="10">
        <v>-6.8333000000000005E-2</v>
      </c>
      <c r="K48" s="10">
        <v>-1.7916999999999999E-2</v>
      </c>
      <c r="L48">
        <f t="shared" si="6"/>
        <v>-3.5394664679582708E-4</v>
      </c>
      <c r="M48">
        <f t="shared" si="7"/>
        <v>-6.4772236363636354E-2</v>
      </c>
      <c r="N48">
        <f t="shared" si="5"/>
        <v>-3.3333500000000002E-2</v>
      </c>
    </row>
    <row r="49" spans="1:15" x14ac:dyDescent="0.3">
      <c r="A49" s="5">
        <v>97.777777777777771</v>
      </c>
      <c r="B49" s="10">
        <v>3.5832999999999997E-2</v>
      </c>
      <c r="C49" s="10">
        <v>3.0832999999999999E-2</v>
      </c>
      <c r="D49" s="10">
        <v>-5.0000000000000001E-3</v>
      </c>
      <c r="E49" s="10">
        <v>-8.3299999999999997E-4</v>
      </c>
      <c r="F49" s="10">
        <v>-4.6667E-2</v>
      </c>
      <c r="G49" s="10">
        <v>-4.1250000000000002E-2</v>
      </c>
      <c r="H49" s="10">
        <v>-7.1666999999999995E-2</v>
      </c>
      <c r="I49" s="10">
        <v>-6.2082999999999999E-2</v>
      </c>
      <c r="J49" s="10">
        <v>-6.7083000000000004E-2</v>
      </c>
      <c r="K49" s="10">
        <v>-1.7916999999999999E-2</v>
      </c>
      <c r="L49">
        <f t="shared" si="6"/>
        <v>-4.9527928464977646E-4</v>
      </c>
      <c r="M49">
        <f t="shared" si="7"/>
        <v>-9.0636109090909092E-2</v>
      </c>
      <c r="N49">
        <f t="shared" si="5"/>
        <v>-2.4583399999999998E-2</v>
      </c>
    </row>
    <row r="50" spans="1:15" x14ac:dyDescent="0.3">
      <c r="A50" s="5">
        <v>119.22222222222221</v>
      </c>
      <c r="B50" s="10">
        <v>4.4582999999999998E-2</v>
      </c>
      <c r="C50" s="10">
        <v>3.0417E-2</v>
      </c>
      <c r="D50" s="10">
        <v>-7.4999999999999997E-3</v>
      </c>
      <c r="E50" s="10">
        <v>-6.6670000000000002E-3</v>
      </c>
      <c r="F50" s="10">
        <v>-6.0832999999999998E-2</v>
      </c>
      <c r="G50" s="10">
        <v>-5.3332999999999998E-2</v>
      </c>
      <c r="H50" s="10">
        <v>-7.2499999999999995E-2</v>
      </c>
      <c r="I50" s="10">
        <v>-6.6667000000000004E-2</v>
      </c>
      <c r="J50" s="10">
        <v>-5.8749999999999997E-2</v>
      </c>
      <c r="K50" s="10">
        <v>-1.4583E-2</v>
      </c>
      <c r="L50">
        <f t="shared" si="6"/>
        <v>-4.8956691505216087E-4</v>
      </c>
      <c r="M50">
        <f t="shared" si="7"/>
        <v>-8.9590745454545442E-2</v>
      </c>
      <c r="N50">
        <f t="shared" si="5"/>
        <v>-2.6583299999999997E-2</v>
      </c>
    </row>
    <row r="51" spans="1:15" x14ac:dyDescent="0.3">
      <c r="A51" s="5">
        <v>140.66666666666666</v>
      </c>
      <c r="B51" s="10">
        <v>3.875E-2</v>
      </c>
      <c r="C51" s="10">
        <v>3.1667000000000001E-2</v>
      </c>
      <c r="D51" s="10">
        <v>-6.6670000000000002E-3</v>
      </c>
      <c r="E51" s="10">
        <v>-1.6670000000000001E-3</v>
      </c>
      <c r="F51" s="10">
        <v>-4.2500000000000003E-2</v>
      </c>
      <c r="G51" s="10">
        <v>-4.1250000000000002E-2</v>
      </c>
      <c r="H51" s="10">
        <v>-6.7917000000000005E-2</v>
      </c>
      <c r="I51" s="10">
        <v>-6.9167000000000006E-2</v>
      </c>
      <c r="J51" s="10">
        <v>-6.6667000000000004E-2</v>
      </c>
      <c r="K51" s="10">
        <v>-2.5000000000000001E-2</v>
      </c>
      <c r="L51">
        <f t="shared" si="6"/>
        <v>-5.2819314456035765E-4</v>
      </c>
      <c r="M51">
        <f t="shared" si="7"/>
        <v>-9.6659345454545451E-2</v>
      </c>
      <c r="N51">
        <f t="shared" si="5"/>
        <v>-2.5041800000000003E-2</v>
      </c>
    </row>
    <row r="52" spans="1:15" x14ac:dyDescent="0.3">
      <c r="A52" s="5">
        <v>162.11111111111109</v>
      </c>
      <c r="B52" s="10">
        <v>3.3750000000000002E-2</v>
      </c>
      <c r="C52" s="10">
        <v>1.7500000000000002E-2</v>
      </c>
      <c r="D52" s="10">
        <v>-2.2499999999999999E-2</v>
      </c>
      <c r="E52" s="10">
        <v>-5.4169999999999999E-3</v>
      </c>
      <c r="F52" s="10">
        <v>-4.2083000000000002E-2</v>
      </c>
      <c r="G52" s="10">
        <v>-4.2500000000000003E-2</v>
      </c>
      <c r="H52" s="10">
        <v>-7.6249999999999998E-2</v>
      </c>
      <c r="I52" s="10">
        <v>-7.5832999999999998E-2</v>
      </c>
      <c r="J52" s="10">
        <v>-6.8333000000000005E-2</v>
      </c>
      <c r="K52" s="10">
        <v>-3.0417E-2</v>
      </c>
      <c r="L52">
        <f t="shared" si="6"/>
        <v>-4.9416244411326366E-4</v>
      </c>
      <c r="M52">
        <f t="shared" si="7"/>
        <v>-9.0431727272727247E-2</v>
      </c>
      <c r="N52">
        <f t="shared" si="5"/>
        <v>-3.1208300000000001E-2</v>
      </c>
    </row>
    <row r="53" spans="1:15" x14ac:dyDescent="0.3">
      <c r="A53" s="5">
        <v>183.55555555555554</v>
      </c>
      <c r="B53" s="10">
        <v>8.3299999999999997E-4</v>
      </c>
      <c r="C53" s="10">
        <v>-7.4999999999999997E-3</v>
      </c>
      <c r="D53" s="10">
        <v>-3.875E-2</v>
      </c>
      <c r="E53" s="10">
        <v>-2.0417000000000001E-2</v>
      </c>
      <c r="F53" s="10">
        <v>-4.7500000000000001E-2</v>
      </c>
      <c r="G53" s="10">
        <v>-4.7083E-2</v>
      </c>
      <c r="H53" s="10">
        <v>-7.3332999999999995E-2</v>
      </c>
      <c r="I53" s="10">
        <v>-7.8750000000000001E-2</v>
      </c>
      <c r="J53" s="10">
        <v>-8.6249999999999993E-2</v>
      </c>
      <c r="K53" s="10">
        <v>-3.5832999999999997E-2</v>
      </c>
      <c r="L53">
        <f t="shared" si="6"/>
        <v>-3.694709388971684E-4</v>
      </c>
      <c r="M53">
        <f t="shared" si="7"/>
        <v>-6.7613181818181822E-2</v>
      </c>
      <c r="N53">
        <f t="shared" si="5"/>
        <v>-4.3458299999999998E-2</v>
      </c>
    </row>
    <row r="54" spans="1:15" x14ac:dyDescent="0.3">
      <c r="A54" s="5">
        <v>205</v>
      </c>
      <c r="B54" s="10">
        <v>1.5833E-2</v>
      </c>
      <c r="C54" s="10">
        <v>9.5829999999999995E-3</v>
      </c>
      <c r="D54" s="10">
        <v>-0.01</v>
      </c>
      <c r="E54" s="10">
        <v>1.2500000000000001E-2</v>
      </c>
      <c r="F54" s="10">
        <v>-3.7082999999999998E-2</v>
      </c>
      <c r="G54" s="10">
        <v>-0.04</v>
      </c>
      <c r="H54" s="10">
        <v>-6.5000000000000002E-2</v>
      </c>
      <c r="I54" s="10">
        <v>-7.7499999999999999E-2</v>
      </c>
      <c r="J54" s="10">
        <v>-8.4167000000000006E-2</v>
      </c>
      <c r="K54" s="10">
        <v>-2.6667E-2</v>
      </c>
      <c r="L54">
        <f t="shared" si="6"/>
        <v>-4.8037764530551425E-4</v>
      </c>
      <c r="M54">
        <f t="shared" si="7"/>
        <v>-8.7909109090909113E-2</v>
      </c>
      <c r="N54">
        <f t="shared" si="5"/>
        <v>-3.0250099999999995E-2</v>
      </c>
    </row>
    <row r="55" spans="1:15" x14ac:dyDescent="0.3">
      <c r="B55" s="4" t="s">
        <v>81</v>
      </c>
      <c r="K55" s="4" t="s">
        <v>83</v>
      </c>
      <c r="L55">
        <f>AVERAGE(L45:L54)</f>
        <v>-4.0758727272727268E-4</v>
      </c>
    </row>
    <row r="56" spans="1:15" x14ac:dyDescent="0.3">
      <c r="A56" t="s">
        <v>46</v>
      </c>
      <c r="B56">
        <f>AVERAGE(B45:B54)</f>
        <v>1.2166399999999999E-2</v>
      </c>
      <c r="C56">
        <f t="shared" ref="C56:K56" si="8">AVERAGE(C45:C54)</f>
        <v>3.8332999999999991E-3</v>
      </c>
      <c r="D56">
        <f t="shared" si="8"/>
        <v>-3.7583400000000003E-2</v>
      </c>
      <c r="E56">
        <f t="shared" si="8"/>
        <v>-2.7083499999999993E-2</v>
      </c>
      <c r="F56">
        <f t="shared" si="8"/>
        <v>-6.4208299999999996E-2</v>
      </c>
      <c r="G56">
        <f t="shared" si="8"/>
        <v>-5.7666599999999998E-2</v>
      </c>
      <c r="H56">
        <f t="shared" si="8"/>
        <v>-8.0333399999999999E-2</v>
      </c>
      <c r="I56">
        <f t="shared" si="8"/>
        <v>-7.6458300000000007E-2</v>
      </c>
      <c r="J56">
        <f t="shared" si="8"/>
        <v>-7.5916599999999987E-2</v>
      </c>
      <c r="K56">
        <f t="shared" si="8"/>
        <v>-3.9125100000000003E-2</v>
      </c>
    </row>
    <row r="57" spans="1:15" x14ac:dyDescent="0.3">
      <c r="B57" s="4" t="s">
        <v>7</v>
      </c>
      <c r="C57">
        <f>STDEV(B46:K55)</f>
        <v>3.8236174033950604E-2</v>
      </c>
      <c r="K57" t="s">
        <v>66</v>
      </c>
      <c r="L57">
        <f>AVERAGE(L45:L55)</f>
        <v>-4.0758727272727273E-4</v>
      </c>
    </row>
    <row r="58" spans="1:15" x14ac:dyDescent="0.3">
      <c r="B58" s="4" t="s">
        <v>8</v>
      </c>
      <c r="C58">
        <f>_xlfn.VAR.S(B46:K55)</f>
        <v>1.4620050047545585E-3</v>
      </c>
    </row>
    <row r="59" spans="1:15" x14ac:dyDescent="0.3">
      <c r="B59" s="4" t="s">
        <v>59</v>
      </c>
      <c r="C59">
        <f>MAX(B45:K54)</f>
        <v>4.4582999999999998E-2</v>
      </c>
      <c r="N59">
        <f>SLOPE(E47:H47,E44:H44)</f>
        <v>-5.4508032786885238E-4</v>
      </c>
      <c r="O59">
        <f>N59*(H44-E44)</f>
        <v>-3.3249900000000006E-2</v>
      </c>
    </row>
    <row r="60" spans="1:15" x14ac:dyDescent="0.3">
      <c r="B60" s="4" t="s">
        <v>60</v>
      </c>
      <c r="C60">
        <f>MIN(B45:K54)</f>
        <v>-0.129583</v>
      </c>
    </row>
    <row r="61" spans="1:15" x14ac:dyDescent="0.3">
      <c r="B61" s="4" t="s">
        <v>61</v>
      </c>
      <c r="C61">
        <f>C59-C60</f>
        <v>0.17416599999999999</v>
      </c>
    </row>
    <row r="63" spans="1:15" x14ac:dyDescent="0.3">
      <c r="O63" t="s">
        <v>47</v>
      </c>
    </row>
    <row r="65" spans="1:16" x14ac:dyDescent="0.3">
      <c r="A65" s="24" t="s">
        <v>78</v>
      </c>
      <c r="B65" s="25"/>
      <c r="C65" s="25"/>
      <c r="D65" s="25"/>
      <c r="E65" s="25"/>
      <c r="F65" s="25"/>
      <c r="G65" s="25"/>
      <c r="H65" s="25"/>
      <c r="I65" s="25"/>
      <c r="J65" s="25"/>
      <c r="K65" s="25"/>
      <c r="L65" s="25"/>
      <c r="M65" s="25"/>
      <c r="N65" s="25"/>
      <c r="O65" s="25"/>
      <c r="P65" s="25"/>
    </row>
    <row r="66" spans="1:16" x14ac:dyDescent="0.3">
      <c r="A66" t="s">
        <v>62</v>
      </c>
      <c r="D66">
        <f>0.04/(F22-E22)</f>
        <v>2.4316109422492402E-4</v>
      </c>
      <c r="E66" t="str">
        <f>FLOOR(ABS((F22-E22)*D66),1)/4  &amp; " h " &amp; TEXT(60*MOD(ABS((F22-E22)*D66), 1)/4, "#0.#") &amp; " min" &amp; IF((F22-E22)*D66 &lt; 0, " CCW", " CW")</f>
        <v>0 h 0.6 min CW</v>
      </c>
      <c r="G66" t="s">
        <v>43</v>
      </c>
      <c r="H66">
        <f>D66*E24</f>
        <v>7.9027355623100301E-2</v>
      </c>
      <c r="I66" t="str">
        <f>FLOOR(ABS(H66),1)/4  &amp; " h " &amp; TEXT(60*MOD(ABS(H66), 1)/4, "#0.#") &amp; " min" &amp; IF(H66 &lt; 0, " CCW", " CW")</f>
        <v>0 h 1.2 min CW</v>
      </c>
      <c r="L66" t="s">
        <v>34</v>
      </c>
      <c r="O66" s="3"/>
    </row>
    <row r="67" spans="1:16" x14ac:dyDescent="0.3">
      <c r="G67" t="s">
        <v>64</v>
      </c>
      <c r="H67" s="31" t="s">
        <v>63</v>
      </c>
      <c r="I67" s="31"/>
      <c r="J67" s="31" t="s">
        <v>67</v>
      </c>
      <c r="K67" s="31"/>
      <c r="L67" s="4" t="s">
        <v>70</v>
      </c>
      <c r="M67" s="4"/>
      <c r="N67" s="31" t="s">
        <v>71</v>
      </c>
      <c r="O67" s="31"/>
      <c r="P67" t="s">
        <v>69</v>
      </c>
    </row>
    <row r="68" spans="1:16" x14ac:dyDescent="0.3">
      <c r="C68" t="s">
        <v>13</v>
      </c>
      <c r="D68" t="s">
        <v>15</v>
      </c>
      <c r="E68" t="s">
        <v>17</v>
      </c>
      <c r="F68" t="s">
        <v>37</v>
      </c>
      <c r="H68" s="4" t="s">
        <v>21</v>
      </c>
      <c r="I68">
        <f ca="1">SLOPE(I70:I78,H70:H78)</f>
        <v>-6.3524385245901621E-4</v>
      </c>
      <c r="K68">
        <f ca="1">SLOPE(K70:K79,J70:J79)</f>
        <v>-4.8956691505216087E-4</v>
      </c>
      <c r="M68">
        <f>SLOPE(M72:M77,L72:L77)</f>
        <v>-4.6532441132637837E-4</v>
      </c>
      <c r="O68">
        <f>SLOPE(O73:O76,N73:N76)</f>
        <v>-1.0743106019887117E-3</v>
      </c>
      <c r="P68">
        <f>L55</f>
        <v>-4.0758727272727268E-4</v>
      </c>
    </row>
    <row r="69" spans="1:16" x14ac:dyDescent="0.3">
      <c r="F69" s="5">
        <f>A50</f>
        <v>119.22222222222221</v>
      </c>
      <c r="O69" s="2"/>
    </row>
    <row r="70" spans="1:16" x14ac:dyDescent="0.3">
      <c r="C70" s="5">
        <v>27</v>
      </c>
      <c r="D70" s="6">
        <f t="shared" ref="D70:D79" si="9">C70-$C$36</f>
        <v>0</v>
      </c>
      <c r="E70" s="6">
        <f t="shared" ref="E70:E79" si="10">C70+$E$19</f>
        <v>79</v>
      </c>
      <c r="F70">
        <f ca="1">OFFSET($A$50,0,1)</f>
        <v>4.4582999999999998E-2</v>
      </c>
      <c r="H70" s="5">
        <f>E70</f>
        <v>79</v>
      </c>
      <c r="I70">
        <f ca="1">F70</f>
        <v>4.4582999999999998E-2</v>
      </c>
      <c r="J70" s="5">
        <f>E70</f>
        <v>79</v>
      </c>
      <c r="K70">
        <f ca="1">F70</f>
        <v>4.4582999999999998E-2</v>
      </c>
      <c r="L70" s="6"/>
      <c r="P70">
        <f>M45</f>
        <v>-4.6408963636363626E-2</v>
      </c>
    </row>
    <row r="71" spans="1:16" x14ac:dyDescent="0.3">
      <c r="C71" s="5">
        <v>47.333333333333329</v>
      </c>
      <c r="D71" s="6">
        <f t="shared" si="9"/>
        <v>20.333333333333329</v>
      </c>
      <c r="E71" s="6">
        <f t="shared" si="10"/>
        <v>99.333333333333329</v>
      </c>
      <c r="F71">
        <f ca="1">OFFSET($A$50,0,2)</f>
        <v>3.0417E-2</v>
      </c>
      <c r="H71" s="4"/>
      <c r="J71" s="5">
        <f t="shared" ref="J71:K79" si="11">E71</f>
        <v>99.333333333333329</v>
      </c>
      <c r="K71">
        <f t="shared" ca="1" si="11"/>
        <v>3.0417E-2</v>
      </c>
      <c r="L71" s="6"/>
      <c r="O71" s="2"/>
      <c r="P71">
        <f t="shared" ref="P71:P79" si="12">M46</f>
        <v>-4.0022345454545437E-2</v>
      </c>
    </row>
    <row r="72" spans="1:16" x14ac:dyDescent="0.3">
      <c r="C72" s="5">
        <v>67.666666666666657</v>
      </c>
      <c r="D72" s="6">
        <f t="shared" si="9"/>
        <v>40.666666666666657</v>
      </c>
      <c r="E72" s="6">
        <f t="shared" si="10"/>
        <v>119.66666666666666</v>
      </c>
      <c r="F72">
        <f ca="1">OFFSET($A$50,0,3)</f>
        <v>-7.4999999999999997E-3</v>
      </c>
      <c r="H72" s="4"/>
      <c r="J72" s="5">
        <f t="shared" si="11"/>
        <v>119.66666666666666</v>
      </c>
      <c r="K72">
        <f t="shared" ca="1" si="11"/>
        <v>-7.4999999999999997E-3</v>
      </c>
      <c r="L72" s="6"/>
      <c r="M72" s="6"/>
      <c r="N72" s="6"/>
      <c r="P72">
        <f t="shared" si="12"/>
        <v>-7.184094545454546E-2</v>
      </c>
    </row>
    <row r="73" spans="1:16" x14ac:dyDescent="0.3">
      <c r="C73" s="5">
        <v>87.999999999999986</v>
      </c>
      <c r="D73" s="6">
        <f t="shared" si="9"/>
        <v>60.999999999999986</v>
      </c>
      <c r="E73" s="6">
        <f t="shared" si="10"/>
        <v>140</v>
      </c>
      <c r="F73">
        <f ca="1">OFFSET($A$50,0,4)</f>
        <v>-6.6670000000000002E-3</v>
      </c>
      <c r="H73" s="4"/>
      <c r="J73" s="5">
        <f t="shared" si="11"/>
        <v>140</v>
      </c>
      <c r="K73">
        <f t="shared" ca="1" si="11"/>
        <v>-6.6670000000000002E-3</v>
      </c>
      <c r="L73" s="5">
        <f>E73</f>
        <v>140</v>
      </c>
      <c r="M73">
        <f>M48</f>
        <v>-6.4772236363636354E-2</v>
      </c>
      <c r="N73" s="5">
        <f>E73</f>
        <v>140</v>
      </c>
      <c r="O73">
        <f>SLOPE(E48:H48,$E$44:$H$44)*($C$80)</f>
        <v>-0.23375864754098349</v>
      </c>
      <c r="P73">
        <f t="shared" si="12"/>
        <v>-6.4772236363636354E-2</v>
      </c>
    </row>
    <row r="74" spans="1:16" x14ac:dyDescent="0.3">
      <c r="C74" s="5">
        <v>108.33333333333331</v>
      </c>
      <c r="D74" s="6">
        <f t="shared" si="9"/>
        <v>81.333333333333314</v>
      </c>
      <c r="E74" s="6">
        <f t="shared" si="10"/>
        <v>160.33333333333331</v>
      </c>
      <c r="F74">
        <f ca="1">OFFSET($A$50,0,5)</f>
        <v>-6.0832999999999998E-2</v>
      </c>
      <c r="H74" s="4"/>
      <c r="J74" s="5">
        <f t="shared" si="11"/>
        <v>160.33333333333331</v>
      </c>
      <c r="K74">
        <f t="shared" ca="1" si="11"/>
        <v>-6.0832999999999998E-2</v>
      </c>
      <c r="L74" s="5">
        <f>E74</f>
        <v>160.33333333333331</v>
      </c>
      <c r="M74">
        <f t="shared" ref="M74:M76" si="13">M49</f>
        <v>-9.0636109090909092E-2</v>
      </c>
      <c r="N74" s="5">
        <f>E74</f>
        <v>160.33333333333331</v>
      </c>
      <c r="O74">
        <f>SLOPE(E49:H49,$E$44:$H$44)*($C$80)</f>
        <v>-0.33099651639344246</v>
      </c>
      <c r="P74">
        <f t="shared" si="12"/>
        <v>-9.0636109090909092E-2</v>
      </c>
    </row>
    <row r="75" spans="1:16" x14ac:dyDescent="0.3">
      <c r="B75" t="s">
        <v>20</v>
      </c>
      <c r="C75" s="5">
        <v>128.66666666666666</v>
      </c>
      <c r="D75" s="6">
        <f t="shared" si="9"/>
        <v>101.66666666666666</v>
      </c>
      <c r="E75" s="6">
        <f t="shared" si="10"/>
        <v>180.66666666666666</v>
      </c>
      <c r="F75">
        <f ca="1">OFFSET($A$50,0,6)</f>
        <v>-5.3332999999999998E-2</v>
      </c>
      <c r="H75" s="4"/>
      <c r="J75" s="5">
        <f t="shared" si="11"/>
        <v>180.66666666666666</v>
      </c>
      <c r="K75">
        <f t="shared" ca="1" si="11"/>
        <v>-5.3332999999999998E-2</v>
      </c>
      <c r="L75" s="5">
        <f>E75</f>
        <v>180.66666666666666</v>
      </c>
      <c r="M75">
        <f t="shared" si="13"/>
        <v>-8.9590745454545442E-2</v>
      </c>
      <c r="N75" s="5">
        <f>E75</f>
        <v>180.66666666666666</v>
      </c>
      <c r="O75">
        <f>SLOPE(E50:H50,$E$44:$H$44)*($C$80)</f>
        <v>-0.30368692622950805</v>
      </c>
      <c r="P75">
        <f t="shared" si="12"/>
        <v>-8.9590745454545442E-2</v>
      </c>
    </row>
    <row r="76" spans="1:16" x14ac:dyDescent="0.3">
      <c r="C76" s="5">
        <v>149</v>
      </c>
      <c r="D76" s="6">
        <f t="shared" si="9"/>
        <v>122</v>
      </c>
      <c r="E76" s="6">
        <f t="shared" si="10"/>
        <v>201</v>
      </c>
      <c r="F76">
        <f ca="1">OFFSET($A$50,0,7)</f>
        <v>-7.2499999999999995E-2</v>
      </c>
      <c r="H76" s="4"/>
      <c r="J76" s="5">
        <f t="shared" si="11"/>
        <v>201</v>
      </c>
      <c r="K76">
        <f t="shared" ca="1" si="11"/>
        <v>-7.2499999999999995E-2</v>
      </c>
      <c r="L76" s="5">
        <f>E76</f>
        <v>201</v>
      </c>
      <c r="M76">
        <f t="shared" si="13"/>
        <v>-9.6659345454545451E-2</v>
      </c>
      <c r="N76" s="5">
        <f>E76</f>
        <v>201</v>
      </c>
      <c r="O76">
        <f>SLOPE(E51:H51,$E$44:$H$44)*($C$80)</f>
        <v>-0.31567622950819657</v>
      </c>
      <c r="P76">
        <f t="shared" si="12"/>
        <v>-9.6659345454545451E-2</v>
      </c>
    </row>
    <row r="77" spans="1:16" x14ac:dyDescent="0.3">
      <c r="C77" s="5">
        <v>169.33333333333334</v>
      </c>
      <c r="D77" s="6">
        <f t="shared" si="9"/>
        <v>142.33333333333334</v>
      </c>
      <c r="E77" s="6">
        <f t="shared" si="10"/>
        <v>221.33333333333334</v>
      </c>
      <c r="F77">
        <f ca="1">OFFSET($A$50,0,8)</f>
        <v>-6.6667000000000004E-2</v>
      </c>
      <c r="H77" s="4"/>
      <c r="J77" s="5">
        <f t="shared" si="11"/>
        <v>221.33333333333334</v>
      </c>
      <c r="K77">
        <f t="shared" ca="1" si="11"/>
        <v>-6.6667000000000004E-2</v>
      </c>
      <c r="L77" s="6"/>
      <c r="M77" s="6"/>
      <c r="N77" s="6"/>
      <c r="P77">
        <f t="shared" si="12"/>
        <v>-9.0431727272727247E-2</v>
      </c>
    </row>
    <row r="78" spans="1:16" x14ac:dyDescent="0.3">
      <c r="C78" s="5">
        <v>189.66666666666669</v>
      </c>
      <c r="D78" s="6">
        <f t="shared" si="9"/>
        <v>162.66666666666669</v>
      </c>
      <c r="E78" s="6">
        <f t="shared" si="10"/>
        <v>241.66666666666669</v>
      </c>
      <c r="F78">
        <f ca="1">OFFSET($A$50,0,9)</f>
        <v>-5.8749999999999997E-2</v>
      </c>
      <c r="H78" s="5">
        <f>E78</f>
        <v>241.66666666666669</v>
      </c>
      <c r="I78">
        <f ca="1">F78</f>
        <v>-5.8749999999999997E-2</v>
      </c>
      <c r="J78" s="5">
        <f t="shared" si="11"/>
        <v>241.66666666666669</v>
      </c>
      <c r="K78">
        <f t="shared" ca="1" si="11"/>
        <v>-5.8749999999999997E-2</v>
      </c>
      <c r="L78" s="6"/>
      <c r="O78" s="3"/>
      <c r="P78">
        <f t="shared" si="12"/>
        <v>-6.7613181818181822E-2</v>
      </c>
    </row>
    <row r="79" spans="1:16" x14ac:dyDescent="0.3">
      <c r="C79" s="5">
        <v>210</v>
      </c>
      <c r="D79" s="6">
        <f t="shared" si="9"/>
        <v>183</v>
      </c>
      <c r="E79" s="6">
        <f t="shared" si="10"/>
        <v>262</v>
      </c>
      <c r="F79">
        <f ca="1">OFFSET($A$50,0,10)</f>
        <v>-1.4583E-2</v>
      </c>
      <c r="J79" s="5">
        <f t="shared" si="11"/>
        <v>262</v>
      </c>
      <c r="K79">
        <f t="shared" ca="1" si="11"/>
        <v>-1.4583E-2</v>
      </c>
      <c r="L79" s="6"/>
      <c r="O79" s="2"/>
      <c r="P79">
        <f t="shared" si="12"/>
        <v>-8.7909109090909113E-2</v>
      </c>
    </row>
    <row r="80" spans="1:16" x14ac:dyDescent="0.3">
      <c r="B80" t="s">
        <v>19</v>
      </c>
      <c r="C80" s="5">
        <f>E24</f>
        <v>325</v>
      </c>
      <c r="D80" t="s">
        <v>28</v>
      </c>
      <c r="G80">
        <f>D66*(H78-H70)</f>
        <v>3.9554204660587643E-2</v>
      </c>
      <c r="I80">
        <f ca="1">$C$80*I68</f>
        <v>-0.20645425204918028</v>
      </c>
      <c r="K80">
        <f ca="1">$C$80*K68</f>
        <v>-0.15910924739195229</v>
      </c>
      <c r="L80" s="6"/>
      <c r="M80">
        <f>AVERAGE(M73:M76)</f>
        <v>-8.5414609090909088E-2</v>
      </c>
      <c r="O80">
        <f>AVERAGE(O73:O76)</f>
        <v>-0.29602957991803264</v>
      </c>
    </row>
    <row r="81" spans="1:16" x14ac:dyDescent="0.3">
      <c r="D81" t="s">
        <v>26</v>
      </c>
      <c r="G81" s="6" t="str">
        <f>FLOOR(ABS(G80),1)/4  &amp; " h " &amp; TEXT(60*MOD(ABS(G80), 1)/4, "#0.#") &amp; " min" &amp; IF(G80 &lt; 0, " CCW", " CW")</f>
        <v>0 h 0.6 min CW</v>
      </c>
      <c r="H81" s="6"/>
      <c r="I81" s="6" t="str">
        <f ca="1">FLOOR(ABS(I80),1)/4  &amp; " h " &amp; TEXT(60*MOD(ABS(I80), 1)/4, "#0.#") &amp; " min" &amp; IF(I80 &lt; 0, " CCW", " CW")</f>
        <v>0 h 3.1 min CCW</v>
      </c>
      <c r="J81" s="6"/>
      <c r="K81" s="6" t="str">
        <f ca="1">FLOOR(ABS(K80),1)/4  &amp; " h " &amp; TEXT(60*MOD(ABS(K80), 1)/4, "#0.#") &amp; " min" &amp; IF(K80 &lt; 0, " CCW", " CW")</f>
        <v>0 h 2.4 min CCW</v>
      </c>
      <c r="L81" s="6"/>
      <c r="M81" s="6" t="str">
        <f>FLOOR(ABS(M80),1)/4  &amp; " h " &amp; TEXT(60*MOD(ABS(M80), 1)/4, "#0.#") &amp; " min" &amp; IF(M80 &lt; 0, " CCW", " CW")</f>
        <v>0 h 1.3 min CCW</v>
      </c>
      <c r="N81" s="6"/>
      <c r="O81" s="6" t="str">
        <f>FLOOR(ABS(O80),1)/4  &amp; " h " &amp; TEXT(60*MOD(ABS(O80), 1)/4, "#0.#") &amp; " min" &amp; IF(O80 &lt; 0, " CCW", " CW")</f>
        <v>0 h 4.4 min CCW</v>
      </c>
      <c r="P81" s="6"/>
    </row>
    <row r="82" spans="1:16" x14ac:dyDescent="0.3">
      <c r="D82" t="s">
        <v>29</v>
      </c>
      <c r="I82">
        <f ca="1">60*MOD(ABS(I80)/4, 1)</f>
        <v>3.0968137807377043</v>
      </c>
      <c r="K82">
        <f ca="1">60*MOD(ABS(K80)/4, 1)</f>
        <v>2.3866387108792844</v>
      </c>
      <c r="M82">
        <f>60*MOD(ABS(M80)/4, 1)</f>
        <v>1.2812191363636363</v>
      </c>
      <c r="O82">
        <f>60*MOD(ABS(O80)/4, 1)</f>
        <v>4.4404436987704896</v>
      </c>
    </row>
    <row r="87" spans="1:16" x14ac:dyDescent="0.3">
      <c r="C87" s="4" t="s">
        <v>32</v>
      </c>
    </row>
    <row r="88" spans="1:16" x14ac:dyDescent="0.3">
      <c r="D88" s="4" t="s">
        <v>22</v>
      </c>
      <c r="E88" s="4" t="s">
        <v>23</v>
      </c>
      <c r="F88" s="4" t="s">
        <v>38</v>
      </c>
      <c r="G88" s="4" t="s">
        <v>42</v>
      </c>
      <c r="K88" s="4"/>
    </row>
    <row r="89" spans="1:16" x14ac:dyDescent="0.3">
      <c r="C89" t="s">
        <v>41</v>
      </c>
      <c r="D89" s="1">
        <f ca="1">I80</f>
        <v>-0.20645425204918028</v>
      </c>
      <c r="E89" s="1">
        <f ca="1">K80</f>
        <v>-0.15910924739195229</v>
      </c>
      <c r="F89" s="1">
        <f>M80</f>
        <v>-8.5414609090909088E-2</v>
      </c>
      <c r="G89" s="1">
        <f>O80</f>
        <v>-0.29602957991803264</v>
      </c>
    </row>
    <row r="90" spans="1:16" x14ac:dyDescent="0.3">
      <c r="C90" t="s">
        <v>26</v>
      </c>
      <c r="D90" s="6" t="str">
        <f ca="1">I81</f>
        <v>0 h 3.1 min CCW</v>
      </c>
      <c r="E90" s="6" t="str">
        <f ca="1">K81</f>
        <v>0 h 2.4 min CCW</v>
      </c>
      <c r="F90" s="6" t="str">
        <f>M81</f>
        <v>0 h 1.3 min CCW</v>
      </c>
      <c r="G90" s="6" t="str">
        <f>O81</f>
        <v>0 h 4.4 min CCW</v>
      </c>
    </row>
    <row r="92" spans="1:16" x14ac:dyDescent="0.3">
      <c r="A92" s="4" t="s">
        <v>252</v>
      </c>
      <c r="B92" s="10"/>
      <c r="C92" s="10"/>
      <c r="D92" s="10"/>
      <c r="E92" s="10"/>
      <c r="F92" s="10"/>
      <c r="G92" s="10"/>
      <c r="H92" s="10"/>
      <c r="I92" s="10"/>
      <c r="J92" s="10"/>
      <c r="K92" s="10"/>
      <c r="L92" s="10"/>
    </row>
    <row r="93" spans="1:16" x14ac:dyDescent="0.3">
      <c r="A93" s="10" t="s">
        <v>72</v>
      </c>
      <c r="B93" s="10" t="s">
        <v>73</v>
      </c>
      <c r="C93" s="10"/>
      <c r="D93" s="10"/>
      <c r="E93" s="10"/>
      <c r="F93" s="10"/>
      <c r="G93" s="10"/>
      <c r="H93" s="10"/>
      <c r="I93" s="10"/>
      <c r="J93" s="10"/>
      <c r="K93" s="10"/>
      <c r="L93" s="10"/>
    </row>
    <row r="94" spans="1:16" x14ac:dyDescent="0.3">
      <c r="A94" s="10" t="s">
        <v>49</v>
      </c>
      <c r="B94" s="10">
        <v>1.2500000000000001E-2</v>
      </c>
      <c r="C94" s="10">
        <v>-1.7916999999999999E-2</v>
      </c>
      <c r="D94" s="10">
        <v>-8.5833000000000007E-2</v>
      </c>
      <c r="E94" s="10">
        <v>-7.7499999999999999E-2</v>
      </c>
      <c r="F94" s="10">
        <v>-0.11375</v>
      </c>
      <c r="G94" s="10">
        <v>-9.3332999999999999E-2</v>
      </c>
      <c r="H94" s="10">
        <v>-9.0832999999999997E-2</v>
      </c>
      <c r="I94" s="10">
        <v>-6.3750000000000001E-2</v>
      </c>
      <c r="J94" s="10">
        <v>-3.9167E-2</v>
      </c>
      <c r="K94" s="10">
        <v>2.0830000000000002E-3</v>
      </c>
      <c r="L94" s="10"/>
      <c r="M94" s="5"/>
      <c r="N94" s="5"/>
    </row>
    <row r="95" spans="1:16" x14ac:dyDescent="0.3">
      <c r="A95" s="10" t="s">
        <v>49</v>
      </c>
      <c r="B95" s="10">
        <v>-1.125E-2</v>
      </c>
      <c r="C95" s="10">
        <v>-1.9167E-2</v>
      </c>
      <c r="D95" s="10">
        <v>-0.08</v>
      </c>
      <c r="E95" s="10">
        <v>-7.0000000000000007E-2</v>
      </c>
      <c r="F95" s="10">
        <v>-8.7499999999999994E-2</v>
      </c>
      <c r="G95" s="10">
        <v>-7.5416999999999998E-2</v>
      </c>
      <c r="H95" s="10">
        <v>-7.6666999999999999E-2</v>
      </c>
      <c r="I95" s="10">
        <v>-4.9583000000000002E-2</v>
      </c>
      <c r="J95" s="10">
        <v>-3.1667000000000001E-2</v>
      </c>
      <c r="K95" s="10">
        <v>-8.3299999999999997E-4</v>
      </c>
      <c r="L95" s="10"/>
      <c r="M95" s="10"/>
    </row>
    <row r="96" spans="1:16" x14ac:dyDescent="0.3">
      <c r="A96" s="10" t="s">
        <v>49</v>
      </c>
      <c r="B96" s="10">
        <v>3.7082999999999998E-2</v>
      </c>
      <c r="C96" s="10">
        <v>3.8332999999999999E-2</v>
      </c>
      <c r="D96" s="10">
        <v>-2.375E-2</v>
      </c>
      <c r="E96" s="10">
        <v>-2.6667E-2</v>
      </c>
      <c r="F96" s="10">
        <v>-6.2082999999999999E-2</v>
      </c>
      <c r="G96" s="10">
        <v>-4.4999999999999998E-2</v>
      </c>
      <c r="H96" s="10">
        <v>-5.4583E-2</v>
      </c>
      <c r="I96" s="10">
        <v>-4.1250000000000002E-2</v>
      </c>
      <c r="J96" s="10">
        <v>-3.125E-2</v>
      </c>
      <c r="K96" s="10">
        <v>-8.3299999999999997E-4</v>
      </c>
      <c r="L96" s="10"/>
      <c r="M96" s="10"/>
    </row>
    <row r="97" spans="1:40" x14ac:dyDescent="0.3">
      <c r="A97" s="10" t="s">
        <v>49</v>
      </c>
      <c r="B97" s="10">
        <v>4.2083000000000002E-2</v>
      </c>
      <c r="C97" s="10">
        <v>3.3333000000000002E-2</v>
      </c>
      <c r="D97" s="10">
        <v>-6.6670000000000002E-3</v>
      </c>
      <c r="E97" s="10">
        <v>-4.17E-4</v>
      </c>
      <c r="F97" s="10">
        <v>-3.5832999999999997E-2</v>
      </c>
      <c r="G97" s="10">
        <v>-2.6249999999999999E-2</v>
      </c>
      <c r="H97" s="10">
        <v>-4.3333000000000003E-2</v>
      </c>
      <c r="I97" s="10">
        <v>-3.0832999999999999E-2</v>
      </c>
      <c r="J97" s="10">
        <v>-2.6249999999999999E-2</v>
      </c>
      <c r="K97" s="10">
        <v>1.2500000000000001E-2</v>
      </c>
      <c r="L97" s="10"/>
      <c r="M97" s="10"/>
    </row>
    <row r="98" spans="1:40" x14ac:dyDescent="0.3">
      <c r="A98" s="10" t="s">
        <v>49</v>
      </c>
      <c r="B98" s="10">
        <v>5.7917000000000003E-2</v>
      </c>
      <c r="C98" s="10">
        <v>5.2499999999999998E-2</v>
      </c>
      <c r="D98" s="10">
        <v>1.4999999999999999E-2</v>
      </c>
      <c r="E98" s="10">
        <v>1.375E-2</v>
      </c>
      <c r="F98" s="10">
        <v>-3.0832999999999999E-2</v>
      </c>
      <c r="G98" s="10">
        <v>-2.5832999999999998E-2</v>
      </c>
      <c r="H98" s="10">
        <v>-4.4582999999999998E-2</v>
      </c>
      <c r="I98" s="10">
        <v>-0.04</v>
      </c>
      <c r="J98" s="10">
        <v>-3.6666999999999998E-2</v>
      </c>
      <c r="K98" s="10">
        <v>-5.4169999999999999E-3</v>
      </c>
      <c r="L98" s="10"/>
      <c r="M98" s="10"/>
    </row>
    <row r="99" spans="1:40" x14ac:dyDescent="0.3">
      <c r="A99" s="10" t="s">
        <v>49</v>
      </c>
      <c r="B99" s="10">
        <v>6.5833000000000003E-2</v>
      </c>
      <c r="C99" s="10">
        <v>5.6250000000000001E-2</v>
      </c>
      <c r="D99" s="10">
        <v>1.4167000000000001E-2</v>
      </c>
      <c r="E99" s="10">
        <v>1.0833000000000001E-2</v>
      </c>
      <c r="F99" s="10">
        <v>-4.2500000000000003E-2</v>
      </c>
      <c r="G99" s="10">
        <v>-3.5416999999999997E-2</v>
      </c>
      <c r="H99" s="10">
        <v>-4.7917000000000001E-2</v>
      </c>
      <c r="I99" s="10">
        <v>-4.1250000000000002E-2</v>
      </c>
      <c r="J99" s="10">
        <v>-3.4167000000000003E-2</v>
      </c>
      <c r="K99" s="10">
        <v>-5.8329999999999996E-3</v>
      </c>
      <c r="L99" s="10"/>
      <c r="M99" s="10"/>
    </row>
    <row r="100" spans="1:40" x14ac:dyDescent="0.3">
      <c r="A100" s="10" t="s">
        <v>49</v>
      </c>
      <c r="B100" s="10">
        <v>6.5833000000000003E-2</v>
      </c>
      <c r="C100" s="10">
        <v>6.2082999999999999E-2</v>
      </c>
      <c r="D100" s="10">
        <v>1.6250000000000001E-2</v>
      </c>
      <c r="E100" s="10">
        <v>1.7500000000000002E-2</v>
      </c>
      <c r="F100" s="10">
        <v>-2.4583000000000001E-2</v>
      </c>
      <c r="G100" s="10">
        <v>-2.1250000000000002E-2</v>
      </c>
      <c r="H100" s="10">
        <v>-4.3749999999999997E-2</v>
      </c>
      <c r="I100" s="10">
        <v>-4.7500000000000001E-2</v>
      </c>
      <c r="J100" s="10">
        <v>-4.7917000000000001E-2</v>
      </c>
      <c r="K100" s="10">
        <v>-7.4999999999999997E-3</v>
      </c>
      <c r="L100" s="10"/>
      <c r="M100" s="10"/>
    </row>
    <row r="101" spans="1:40" x14ac:dyDescent="0.3">
      <c r="A101" s="10" t="s">
        <v>49</v>
      </c>
      <c r="B101" s="10">
        <v>6.0416999999999998E-2</v>
      </c>
      <c r="C101" s="10">
        <v>4.9167000000000002E-2</v>
      </c>
      <c r="D101" s="10">
        <v>8.3330000000000001E-3</v>
      </c>
      <c r="E101" s="10">
        <v>2.0417000000000001E-2</v>
      </c>
      <c r="F101" s="10">
        <v>-1.8749999999999999E-2</v>
      </c>
      <c r="G101" s="10">
        <v>-1.8332999999999999E-2</v>
      </c>
      <c r="H101" s="10">
        <v>-4.4166999999999998E-2</v>
      </c>
      <c r="I101" s="10">
        <v>-0.04</v>
      </c>
      <c r="J101" s="10">
        <v>-4.0417000000000002E-2</v>
      </c>
      <c r="K101" s="10">
        <v>-7.0829999999999999E-3</v>
      </c>
      <c r="L101" s="10"/>
      <c r="M101" s="10"/>
    </row>
    <row r="102" spans="1:40" x14ac:dyDescent="0.3">
      <c r="A102" s="10" t="s">
        <v>49</v>
      </c>
      <c r="B102" s="10">
        <v>3.7916999999999999E-2</v>
      </c>
      <c r="C102" s="10">
        <v>3.0417E-2</v>
      </c>
      <c r="D102" s="10">
        <v>-3.7499999999999999E-3</v>
      </c>
      <c r="E102" s="10">
        <v>1.2500000000000001E-2</v>
      </c>
      <c r="F102" s="10">
        <v>-1.8749999999999999E-2</v>
      </c>
      <c r="G102" s="10">
        <v>-1.6667000000000001E-2</v>
      </c>
      <c r="H102" s="10">
        <v>-0.04</v>
      </c>
      <c r="I102" s="10">
        <v>-4.0833000000000001E-2</v>
      </c>
      <c r="J102" s="10">
        <v>-4.3333000000000003E-2</v>
      </c>
      <c r="K102" s="10">
        <v>-7.4999999999999997E-3</v>
      </c>
      <c r="L102" s="10"/>
      <c r="M102" s="10"/>
    </row>
    <row r="103" spans="1:40" x14ac:dyDescent="0.3">
      <c r="A103" s="10" t="s">
        <v>49</v>
      </c>
      <c r="B103" s="10">
        <v>4.2083000000000002E-2</v>
      </c>
      <c r="C103" s="10">
        <v>4.3749999999999997E-2</v>
      </c>
      <c r="D103" s="10">
        <v>1.8749999999999999E-2</v>
      </c>
      <c r="E103" s="10">
        <v>3.875E-2</v>
      </c>
      <c r="F103" s="10">
        <v>-8.7500000000000008E-3</v>
      </c>
      <c r="G103" s="10">
        <v>-1.125E-2</v>
      </c>
      <c r="H103" s="10">
        <v>-3.2500000000000001E-2</v>
      </c>
      <c r="I103" s="10">
        <v>-3.5416999999999997E-2</v>
      </c>
      <c r="J103" s="10">
        <v>-4.3333000000000003E-2</v>
      </c>
      <c r="K103" s="10">
        <v>1.6670000000000001E-3</v>
      </c>
      <c r="L103" s="10"/>
      <c r="M103" s="10"/>
    </row>
    <row r="104" spans="1:40" x14ac:dyDescent="0.3">
      <c r="A104" s="24" t="s">
        <v>250</v>
      </c>
      <c r="B104" s="26"/>
      <c r="C104" s="26"/>
      <c r="D104" s="25"/>
      <c r="E104" s="25"/>
      <c r="F104" s="24" t="s">
        <v>250</v>
      </c>
      <c r="G104" s="26"/>
      <c r="H104" s="26"/>
      <c r="I104" s="26"/>
      <c r="J104" s="26"/>
      <c r="K104" s="26"/>
      <c r="L104" s="26"/>
      <c r="M104" s="24" t="s">
        <v>250</v>
      </c>
      <c r="N104" s="26"/>
      <c r="O104" s="25"/>
      <c r="P104" s="24" t="s">
        <v>250</v>
      </c>
      <c r="Q104" s="10"/>
    </row>
    <row r="105" spans="1:40" x14ac:dyDescent="0.3">
      <c r="A105" s="27" t="s">
        <v>253</v>
      </c>
      <c r="B105" s="28"/>
      <c r="C105" s="28"/>
      <c r="D105" s="28"/>
      <c r="E105" s="28"/>
      <c r="F105" s="28"/>
      <c r="G105" s="28"/>
      <c r="H105" s="28"/>
      <c r="I105" s="28"/>
      <c r="J105" s="28"/>
      <c r="K105" s="28"/>
      <c r="L105" s="28"/>
      <c r="M105" s="29"/>
      <c r="X105" s="10"/>
      <c r="Y105" s="10"/>
      <c r="Z105" s="10"/>
      <c r="AA105" s="10"/>
      <c r="AB105" s="10"/>
      <c r="AC105" s="10"/>
      <c r="AD105" s="10"/>
      <c r="AE105" s="10"/>
      <c r="AF105" s="10"/>
      <c r="AG105" s="10"/>
      <c r="AH105" s="10"/>
      <c r="AI105" s="10"/>
      <c r="AJ105" s="10"/>
      <c r="AK105" s="10"/>
      <c r="AL105" s="10"/>
      <c r="AM105" s="10"/>
      <c r="AN105" s="10"/>
    </row>
    <row r="106" spans="1:40" x14ac:dyDescent="0.3">
      <c r="A106" s="4" t="s">
        <v>254</v>
      </c>
      <c r="B106" s="4" t="s">
        <v>82</v>
      </c>
      <c r="C106" s="4" t="s">
        <v>89</v>
      </c>
      <c r="K106" s="4" t="s">
        <v>84</v>
      </c>
      <c r="L106" s="10"/>
      <c r="X106" s="10"/>
      <c r="Y106" s="10"/>
      <c r="AA106" s="10"/>
      <c r="AC106" s="10"/>
    </row>
    <row r="107" spans="1:40" x14ac:dyDescent="0.3">
      <c r="B107" s="5">
        <v>27</v>
      </c>
      <c r="C107" s="5">
        <v>47.333333333333329</v>
      </c>
      <c r="D107" s="5">
        <v>67.666666666666657</v>
      </c>
      <c r="E107" s="5">
        <v>87.999999999999986</v>
      </c>
      <c r="F107" s="5">
        <v>108.33333333333331</v>
      </c>
      <c r="G107" s="5">
        <v>128.66666666666666</v>
      </c>
      <c r="H107" s="5">
        <v>149</v>
      </c>
      <c r="I107" s="5">
        <v>169.33333333333334</v>
      </c>
      <c r="J107" s="5">
        <v>189.66666666666669</v>
      </c>
      <c r="K107" s="5">
        <v>210</v>
      </c>
      <c r="M107" s="10"/>
      <c r="N107" s="10"/>
      <c r="O107" s="10"/>
      <c r="P107" s="10"/>
      <c r="Q107" s="10"/>
      <c r="R107" s="10"/>
      <c r="S107" s="10"/>
      <c r="T107" s="10"/>
      <c r="U107" s="10"/>
      <c r="V107" s="10"/>
    </row>
    <row r="108" spans="1:40" x14ac:dyDescent="0.3">
      <c r="A108" s="5">
        <v>12</v>
      </c>
      <c r="B108" s="10">
        <v>6.4892999999999992E-2</v>
      </c>
      <c r="C108" s="10">
        <v>-0.02</v>
      </c>
      <c r="D108" s="10">
        <v>-1.4999999999999999E-2</v>
      </c>
      <c r="E108" s="10">
        <v>-0.01</v>
      </c>
      <c r="F108" s="10">
        <v>0</v>
      </c>
      <c r="G108" s="10">
        <v>0</v>
      </c>
      <c r="H108" s="10">
        <v>-0.01</v>
      </c>
      <c r="I108" s="10">
        <v>-0.01</v>
      </c>
      <c r="J108" s="10">
        <v>1.4039999999999921E-3</v>
      </c>
      <c r="K108" s="10">
        <v>-3.9144000000000012E-2</v>
      </c>
      <c r="M108" s="10"/>
      <c r="N108" s="10"/>
      <c r="O108" s="10"/>
      <c r="P108" s="10"/>
      <c r="Q108" s="10"/>
      <c r="R108" s="10"/>
      <c r="S108" s="10"/>
      <c r="T108" s="10"/>
      <c r="U108" s="10"/>
      <c r="V108" s="10"/>
    </row>
    <row r="109" spans="1:40" x14ac:dyDescent="0.3">
      <c r="A109" s="5">
        <v>33.444444444444443</v>
      </c>
      <c r="B109" s="10">
        <v>3.5626000000000005E-2</v>
      </c>
      <c r="C109" s="10">
        <v>-0.02</v>
      </c>
      <c r="D109" s="10">
        <v>0</v>
      </c>
      <c r="E109" s="10">
        <v>0</v>
      </c>
      <c r="F109" s="10">
        <v>0</v>
      </c>
      <c r="G109" s="10">
        <v>0</v>
      </c>
      <c r="H109" s="10">
        <v>0</v>
      </c>
      <c r="I109" s="10">
        <v>0</v>
      </c>
      <c r="J109" s="10">
        <v>-1.0363999999999995E-2</v>
      </c>
      <c r="K109" s="10">
        <v>-3.0495000000000005E-2</v>
      </c>
      <c r="M109" s="10"/>
      <c r="N109" s="10"/>
      <c r="O109" s="10"/>
      <c r="P109" s="10"/>
      <c r="Q109" s="10"/>
      <c r="R109" s="10"/>
      <c r="S109" s="10"/>
      <c r="T109" s="10"/>
      <c r="U109" s="10"/>
      <c r="V109" s="10"/>
    </row>
    <row r="110" spans="1:40" x14ac:dyDescent="0.3">
      <c r="A110" s="5">
        <v>54.888888888888886</v>
      </c>
      <c r="B110" s="10">
        <v>-0.01</v>
      </c>
      <c r="C110" s="10">
        <v>-0.01</v>
      </c>
      <c r="D110" s="10">
        <v>0</v>
      </c>
      <c r="E110" s="10">
        <v>0</v>
      </c>
      <c r="F110" s="10">
        <v>0</v>
      </c>
      <c r="G110" s="10">
        <v>0</v>
      </c>
      <c r="H110" s="10">
        <v>0</v>
      </c>
      <c r="I110" s="10">
        <v>0</v>
      </c>
      <c r="J110" s="10">
        <v>-8.3819999999999971E-3</v>
      </c>
      <c r="K110" s="10">
        <v>-6.6012000000000001E-2</v>
      </c>
      <c r="M110" s="10"/>
      <c r="N110" s="10"/>
      <c r="O110" s="10"/>
      <c r="P110" s="10"/>
      <c r="Q110" s="10"/>
      <c r="R110" s="10"/>
      <c r="S110" s="10"/>
      <c r="T110" s="10"/>
      <c r="U110" s="10"/>
      <c r="V110" s="10"/>
    </row>
    <row r="111" spans="1:40" x14ac:dyDescent="0.3">
      <c r="A111" s="5">
        <v>76.333333333333329</v>
      </c>
      <c r="B111" s="10">
        <v>-0.01</v>
      </c>
      <c r="C111" s="10">
        <v>-0.01</v>
      </c>
      <c r="D111" s="10">
        <v>0</v>
      </c>
      <c r="E111" s="10">
        <v>0</v>
      </c>
      <c r="F111" s="10">
        <v>0</v>
      </c>
      <c r="G111" s="10">
        <v>0</v>
      </c>
      <c r="H111" s="10">
        <v>0</v>
      </c>
      <c r="I111" s="10">
        <v>0</v>
      </c>
      <c r="J111" s="10">
        <v>1.0264000000000006E-2</v>
      </c>
      <c r="K111" s="10">
        <v>-9.6115999999999993E-2</v>
      </c>
      <c r="M111" s="10"/>
      <c r="N111" s="10"/>
      <c r="O111" s="10"/>
      <c r="P111" s="10"/>
      <c r="Q111" s="10"/>
      <c r="R111" s="10"/>
      <c r="S111" s="10"/>
      <c r="T111" s="10"/>
      <c r="U111" s="10"/>
      <c r="V111" s="10"/>
    </row>
    <row r="112" spans="1:40" x14ac:dyDescent="0.3">
      <c r="A112" s="5">
        <v>97.777777777777771</v>
      </c>
      <c r="B112" s="10">
        <v>-0.01</v>
      </c>
      <c r="C112" s="10">
        <v>-0.01</v>
      </c>
      <c r="D112" s="10">
        <v>0</v>
      </c>
      <c r="E112" s="10">
        <v>0</v>
      </c>
      <c r="F112" s="10">
        <v>0</v>
      </c>
      <c r="G112" s="10">
        <v>0</v>
      </c>
      <c r="H112" s="10">
        <v>0</v>
      </c>
      <c r="I112" s="10">
        <v>0</v>
      </c>
      <c r="J112" s="10">
        <v>-1.2589999999999997E-3</v>
      </c>
      <c r="K112" s="10">
        <v>-0.11389000000000001</v>
      </c>
      <c r="M112" s="10"/>
      <c r="N112" s="10"/>
      <c r="O112" s="10"/>
      <c r="P112" s="10"/>
      <c r="Q112" s="10"/>
      <c r="R112" s="10"/>
      <c r="S112" s="10"/>
      <c r="T112" s="10"/>
      <c r="U112" s="10"/>
      <c r="V112" s="10"/>
    </row>
    <row r="113" spans="1:22" x14ac:dyDescent="0.3">
      <c r="A113" s="5">
        <v>119.22222222222221</v>
      </c>
      <c r="B113" s="10">
        <v>-0.01</v>
      </c>
      <c r="C113" s="10">
        <v>-0.01</v>
      </c>
      <c r="D113" s="10">
        <v>0</v>
      </c>
      <c r="E113" s="10">
        <v>0</v>
      </c>
      <c r="F113" s="10">
        <v>0</v>
      </c>
      <c r="G113" s="10">
        <v>0</v>
      </c>
      <c r="H113" s="10">
        <v>0</v>
      </c>
      <c r="I113" s="10">
        <v>0</v>
      </c>
      <c r="J113" s="10">
        <v>-1.4972000000000003E-2</v>
      </c>
      <c r="K113" s="10">
        <v>-0.12005200000000001</v>
      </c>
      <c r="M113" s="10"/>
      <c r="N113" s="10"/>
      <c r="O113" s="10"/>
      <c r="P113" s="10"/>
      <c r="Q113" s="10"/>
      <c r="R113" s="10"/>
      <c r="S113" s="10"/>
      <c r="T113" s="10"/>
      <c r="U113" s="10"/>
      <c r="V113" s="10"/>
    </row>
    <row r="114" spans="1:22" x14ac:dyDescent="0.3">
      <c r="A114" s="5">
        <v>140.66666666666666</v>
      </c>
      <c r="B114" s="10">
        <v>-0.01</v>
      </c>
      <c r="C114" s="10">
        <v>-0.01</v>
      </c>
      <c r="D114" s="10">
        <v>-5.0000000000000001E-3</v>
      </c>
      <c r="E114" s="10">
        <v>-5.0000000000000001E-3</v>
      </c>
      <c r="F114" s="10">
        <v>-5.0000000000000001E-3</v>
      </c>
      <c r="G114" s="10">
        <v>-5.0000000000000001E-3</v>
      </c>
      <c r="H114" s="10">
        <v>-5.0000000000000001E-3</v>
      </c>
      <c r="I114" s="10">
        <v>-5.0000000000000001E-3</v>
      </c>
      <c r="J114" s="10">
        <v>-1.826899999999999E-2</v>
      </c>
      <c r="K114" s="10">
        <v>-0.1102566</v>
      </c>
      <c r="M114" s="10"/>
      <c r="N114" s="10"/>
      <c r="O114" s="10"/>
      <c r="P114" s="10"/>
      <c r="Q114" s="10"/>
      <c r="R114" s="10"/>
      <c r="S114" s="10"/>
      <c r="T114" s="10"/>
      <c r="U114" s="10"/>
      <c r="V114" s="10"/>
    </row>
    <row r="115" spans="1:22" x14ac:dyDescent="0.3">
      <c r="A115" s="5">
        <v>162.11111111111109</v>
      </c>
      <c r="B115" s="10">
        <v>-0.01</v>
      </c>
      <c r="C115" s="10">
        <v>-3.5000000000000003E-2</v>
      </c>
      <c r="D115" s="10">
        <v>-0.01</v>
      </c>
      <c r="E115" s="10">
        <v>-0.01</v>
      </c>
      <c r="F115" s="10">
        <v>-0.01</v>
      </c>
      <c r="G115" s="10">
        <v>-0.01</v>
      </c>
      <c r="H115" s="10">
        <v>-0.01</v>
      </c>
      <c r="I115" s="10">
        <v>-0.01</v>
      </c>
      <c r="J115" s="10">
        <v>-5.3649000000000002E-2</v>
      </c>
      <c r="K115" s="10">
        <v>-0.1209196</v>
      </c>
      <c r="M115" s="10"/>
      <c r="N115" s="10"/>
      <c r="O115" s="10"/>
      <c r="P115" s="10"/>
      <c r="Q115" s="10"/>
      <c r="R115" s="10"/>
      <c r="S115" s="10"/>
      <c r="T115" s="10"/>
      <c r="U115" s="10"/>
      <c r="V115" s="10"/>
    </row>
    <row r="116" spans="1:22" x14ac:dyDescent="0.3">
      <c r="A116" s="5">
        <v>183.55555555555554</v>
      </c>
      <c r="B116" s="10">
        <v>-7.0959999999999995E-2</v>
      </c>
      <c r="C116" s="10">
        <v>-0.06</v>
      </c>
      <c r="D116" s="10">
        <v>-0.03</v>
      </c>
      <c r="E116" s="10">
        <v>-0.02</v>
      </c>
      <c r="F116" s="10">
        <v>-0.02</v>
      </c>
      <c r="G116" s="10">
        <v>-0.02</v>
      </c>
      <c r="H116" s="10">
        <v>-0.02</v>
      </c>
      <c r="I116" s="10">
        <v>-0.02</v>
      </c>
      <c r="J116" s="10">
        <v>-7.8616000000000005E-2</v>
      </c>
      <c r="K116" s="10">
        <v>-0.14041400000000001</v>
      </c>
      <c r="M116" s="10"/>
      <c r="N116" s="10"/>
      <c r="O116" s="10"/>
      <c r="P116" s="10"/>
      <c r="Q116" s="10"/>
      <c r="R116" s="10"/>
      <c r="S116" s="10"/>
      <c r="T116" s="10"/>
      <c r="U116" s="10"/>
      <c r="V116" s="10"/>
    </row>
    <row r="117" spans="1:22" x14ac:dyDescent="0.3">
      <c r="A117" s="5">
        <v>205</v>
      </c>
      <c r="B117" s="10">
        <v>-9.8422999999999997E-2</v>
      </c>
      <c r="C117" s="10">
        <v>-0.06</v>
      </c>
      <c r="D117" s="10">
        <v>-0.04</v>
      </c>
      <c r="E117" s="10">
        <v>-0.03</v>
      </c>
      <c r="F117" s="10">
        <v>-0.03</v>
      </c>
      <c r="G117" s="10">
        <v>-0.03</v>
      </c>
      <c r="H117" s="10">
        <v>-0.03</v>
      </c>
      <c r="I117" s="10">
        <v>-0.03</v>
      </c>
      <c r="J117" s="10">
        <v>-7.9828999999999997E-2</v>
      </c>
      <c r="K117" s="10">
        <v>-0.14871000000000001</v>
      </c>
      <c r="M117" s="10"/>
    </row>
    <row r="118" spans="1:22" x14ac:dyDescent="0.3">
      <c r="B118" s="4" t="s">
        <v>81</v>
      </c>
      <c r="K118" s="4" t="s">
        <v>83</v>
      </c>
    </row>
    <row r="119" spans="1:22" x14ac:dyDescent="0.3">
      <c r="A119" s="4" t="s">
        <v>104</v>
      </c>
      <c r="B119" s="4">
        <v>1.5</v>
      </c>
    </row>
    <row r="120" spans="1:22" x14ac:dyDescent="0.3">
      <c r="B120" s="4" t="s">
        <v>82</v>
      </c>
      <c r="C120" s="4" t="s">
        <v>89</v>
      </c>
      <c r="K120" s="4" t="s">
        <v>84</v>
      </c>
    </row>
    <row r="121" spans="1:22" x14ac:dyDescent="0.3">
      <c r="A121" s="4" t="s">
        <v>251</v>
      </c>
      <c r="B121" s="5">
        <v>27</v>
      </c>
      <c r="C121" s="5">
        <v>47.333333333333329</v>
      </c>
      <c r="D121" s="5">
        <v>67.666666666666657</v>
      </c>
      <c r="E121" s="5">
        <v>87.999999999999986</v>
      </c>
      <c r="F121" s="5">
        <v>108.33333333333331</v>
      </c>
      <c r="G121" s="5">
        <v>128.66666666666666</v>
      </c>
      <c r="H121" s="5">
        <v>149</v>
      </c>
      <c r="I121" s="5">
        <v>169.33333333333334</v>
      </c>
      <c r="J121" s="5">
        <v>189.66666666666669</v>
      </c>
      <c r="K121" s="5">
        <v>210</v>
      </c>
      <c r="M121" s="10"/>
      <c r="N121" s="10"/>
      <c r="O121" s="10"/>
      <c r="P121" s="10"/>
      <c r="Q121" s="10"/>
      <c r="R121" s="10"/>
      <c r="S121" s="10"/>
      <c r="T121" s="10"/>
      <c r="U121" s="10"/>
      <c r="V121" s="10"/>
    </row>
    <row r="122" spans="1:22" x14ac:dyDescent="0.3">
      <c r="A122" s="5">
        <v>12</v>
      </c>
      <c r="B122" s="10">
        <f t="shared" ref="B122:K122" si="14">B108+B45</f>
        <v>2.5725999999999992E-2</v>
      </c>
      <c r="C122" s="10">
        <f t="shared" si="14"/>
        <v>-7.4166999999999997E-2</v>
      </c>
      <c r="D122" s="10">
        <f t="shared" si="14"/>
        <v>-0.126667</v>
      </c>
      <c r="E122" s="10">
        <f t="shared" si="14"/>
        <v>-0.11</v>
      </c>
      <c r="F122" s="10">
        <f t="shared" si="14"/>
        <v>-0.129583</v>
      </c>
      <c r="G122" s="10">
        <f t="shared" si="14"/>
        <v>-0.10875</v>
      </c>
      <c r="H122" s="10">
        <f t="shared" si="14"/>
        <v>-0.127083</v>
      </c>
      <c r="I122" s="10">
        <f t="shared" si="14"/>
        <v>-0.12125</v>
      </c>
      <c r="J122" s="10">
        <f t="shared" si="14"/>
        <v>-0.10276300000000001</v>
      </c>
      <c r="K122" s="10">
        <f t="shared" si="14"/>
        <v>-0.13081100000000001</v>
      </c>
      <c r="M122" s="10"/>
      <c r="N122" s="10"/>
      <c r="O122" s="10"/>
      <c r="P122" s="10"/>
      <c r="Q122" s="10"/>
      <c r="R122" s="10"/>
      <c r="S122" s="10"/>
      <c r="T122" s="10"/>
      <c r="U122" s="10"/>
      <c r="V122" s="10"/>
    </row>
    <row r="123" spans="1:22" x14ac:dyDescent="0.3">
      <c r="A123" s="5">
        <v>33.444444444444443</v>
      </c>
      <c r="B123" s="10">
        <f t="shared" ref="B123:K123" si="15">B109+B46</f>
        <v>-3.5409999999999955E-3</v>
      </c>
      <c r="C123" s="10">
        <f t="shared" si="15"/>
        <v>-6.2082999999999999E-2</v>
      </c>
      <c r="D123" s="10">
        <f t="shared" si="15"/>
        <v>-0.1</v>
      </c>
      <c r="E123" s="10">
        <f t="shared" si="15"/>
        <v>-8.6249999999999993E-2</v>
      </c>
      <c r="F123" s="10">
        <f t="shared" si="15"/>
        <v>-0.104167</v>
      </c>
      <c r="G123" s="10">
        <f t="shared" si="15"/>
        <v>-9.375E-2</v>
      </c>
      <c r="H123" s="10">
        <f t="shared" si="15"/>
        <v>-0.104167</v>
      </c>
      <c r="I123" s="10">
        <f t="shared" si="15"/>
        <v>-9.0832999999999997E-2</v>
      </c>
      <c r="J123" s="10">
        <f t="shared" si="15"/>
        <v>-9.1197E-2</v>
      </c>
      <c r="K123" s="10">
        <f t="shared" si="15"/>
        <v>-0.12132800000000001</v>
      </c>
      <c r="M123" s="10"/>
      <c r="N123" s="10"/>
      <c r="O123" s="10"/>
      <c r="P123" s="10"/>
      <c r="Q123" s="10"/>
      <c r="R123" s="10"/>
      <c r="S123" s="10"/>
      <c r="T123" s="10"/>
      <c r="U123" s="10"/>
      <c r="V123" s="10"/>
    </row>
    <row r="124" spans="1:22" x14ac:dyDescent="0.3">
      <c r="A124" s="5">
        <v>54.888888888888886</v>
      </c>
      <c r="B124" s="10">
        <f t="shared" ref="B124:K124" si="16">B110+B47</f>
        <v>8.3300000000000041E-4</v>
      </c>
      <c r="C124" s="10">
        <f t="shared" si="16"/>
        <v>2.5000000000000005E-3</v>
      </c>
      <c r="D124" s="10">
        <f t="shared" si="16"/>
        <v>-4.5832999999999999E-2</v>
      </c>
      <c r="E124" s="10">
        <f t="shared" si="16"/>
        <v>-4.4166999999999998E-2</v>
      </c>
      <c r="F124" s="10">
        <f t="shared" si="16"/>
        <v>-7.6249999999999998E-2</v>
      </c>
      <c r="G124" s="10">
        <f t="shared" si="16"/>
        <v>-6.3333E-2</v>
      </c>
      <c r="H124" s="10">
        <f t="shared" si="16"/>
        <v>-8.5417000000000007E-2</v>
      </c>
      <c r="I124" s="10">
        <f t="shared" si="16"/>
        <v>-7.2916999999999996E-2</v>
      </c>
      <c r="J124" s="10">
        <f t="shared" si="16"/>
        <v>-8.2964999999999997E-2</v>
      </c>
      <c r="K124" s="10">
        <f t="shared" si="16"/>
        <v>-0.106429</v>
      </c>
      <c r="L124" s="4"/>
      <c r="M124" s="10"/>
      <c r="N124" s="10"/>
      <c r="O124" s="10"/>
      <c r="P124" s="10"/>
      <c r="Q124" s="10"/>
      <c r="R124" s="10"/>
      <c r="S124" s="10"/>
      <c r="T124" s="10"/>
      <c r="U124" s="10"/>
      <c r="V124" s="10"/>
    </row>
    <row r="125" spans="1:22" x14ac:dyDescent="0.3">
      <c r="A125" s="5">
        <v>76.333333333333329</v>
      </c>
      <c r="B125" s="10">
        <f t="shared" ref="B125:K125" si="17">B111+B48</f>
        <v>9.5829999999999995E-3</v>
      </c>
      <c r="C125" s="10">
        <f t="shared" si="17"/>
        <v>-4.170000000000007E-4</v>
      </c>
      <c r="D125" s="10">
        <f t="shared" si="17"/>
        <v>-2.7917000000000001E-2</v>
      </c>
      <c r="E125" s="10">
        <f t="shared" si="17"/>
        <v>-1.7916999999999999E-2</v>
      </c>
      <c r="F125" s="10">
        <f t="shared" si="17"/>
        <v>-5.5417000000000001E-2</v>
      </c>
      <c r="G125" s="10">
        <f t="shared" si="17"/>
        <v>-4.5416999999999999E-2</v>
      </c>
      <c r="H125" s="10">
        <f t="shared" si="17"/>
        <v>-7.0000000000000007E-2</v>
      </c>
      <c r="I125" s="10">
        <f t="shared" si="17"/>
        <v>-5.9582999999999997E-2</v>
      </c>
      <c r="J125" s="10">
        <f t="shared" si="17"/>
        <v>-5.8068999999999996E-2</v>
      </c>
      <c r="K125" s="10">
        <f t="shared" si="17"/>
        <v>-0.114033</v>
      </c>
      <c r="M125" s="10"/>
      <c r="N125" s="10"/>
      <c r="O125" s="10"/>
      <c r="P125" s="10"/>
      <c r="Q125" s="10"/>
      <c r="R125" s="10"/>
      <c r="S125" s="10"/>
      <c r="T125" s="10"/>
      <c r="U125" s="10"/>
      <c r="V125" s="10"/>
    </row>
    <row r="126" spans="1:22" x14ac:dyDescent="0.3">
      <c r="A126" s="5">
        <v>97.777777777777771</v>
      </c>
      <c r="B126" s="10">
        <f t="shared" ref="B126:K126" si="18">B112+B49</f>
        <v>2.5832999999999995E-2</v>
      </c>
      <c r="C126" s="10">
        <f t="shared" si="18"/>
        <v>2.0832999999999997E-2</v>
      </c>
      <c r="D126" s="10">
        <f t="shared" si="18"/>
        <v>-5.0000000000000001E-3</v>
      </c>
      <c r="E126" s="10">
        <f t="shared" si="18"/>
        <v>-8.3299999999999997E-4</v>
      </c>
      <c r="F126" s="10">
        <f t="shared" si="18"/>
        <v>-4.6667E-2</v>
      </c>
      <c r="G126" s="10">
        <f t="shared" si="18"/>
        <v>-4.1250000000000002E-2</v>
      </c>
      <c r="H126" s="10">
        <f t="shared" si="18"/>
        <v>-7.1666999999999995E-2</v>
      </c>
      <c r="I126" s="10">
        <f t="shared" si="18"/>
        <v>-6.2082999999999999E-2</v>
      </c>
      <c r="J126" s="10">
        <f t="shared" si="18"/>
        <v>-6.8342E-2</v>
      </c>
      <c r="K126" s="10">
        <f t="shared" si="18"/>
        <v>-0.13180700000000001</v>
      </c>
      <c r="M126" s="10"/>
      <c r="N126" s="10"/>
      <c r="O126" s="10"/>
      <c r="P126" s="10"/>
      <c r="Q126" s="10"/>
      <c r="R126" s="10"/>
      <c r="S126" s="10"/>
      <c r="T126" s="10"/>
      <c r="U126" s="10"/>
      <c r="V126" s="10"/>
    </row>
    <row r="127" spans="1:22" x14ac:dyDescent="0.3">
      <c r="A127" s="5">
        <v>119.22222222222221</v>
      </c>
      <c r="B127" s="10">
        <f t="shared" ref="B127:K127" si="19">B113+B50</f>
        <v>3.4582999999999996E-2</v>
      </c>
      <c r="C127" s="10">
        <f t="shared" si="19"/>
        <v>2.0416999999999998E-2</v>
      </c>
      <c r="D127" s="10">
        <f t="shared" si="19"/>
        <v>-7.4999999999999997E-3</v>
      </c>
      <c r="E127" s="10">
        <f t="shared" si="19"/>
        <v>-6.6670000000000002E-3</v>
      </c>
      <c r="F127" s="10">
        <f t="shared" si="19"/>
        <v>-6.0832999999999998E-2</v>
      </c>
      <c r="G127" s="10">
        <f t="shared" si="19"/>
        <v>-5.3332999999999998E-2</v>
      </c>
      <c r="H127" s="10">
        <f t="shared" si="19"/>
        <v>-7.2499999999999995E-2</v>
      </c>
      <c r="I127" s="10">
        <f t="shared" si="19"/>
        <v>-6.6667000000000004E-2</v>
      </c>
      <c r="J127" s="10">
        <f t="shared" si="19"/>
        <v>-7.3721999999999996E-2</v>
      </c>
      <c r="K127" s="10">
        <f t="shared" si="19"/>
        <v>-0.134635</v>
      </c>
      <c r="L127" s="6"/>
      <c r="M127" s="10"/>
      <c r="N127" s="10"/>
      <c r="O127" s="10"/>
      <c r="P127" s="10"/>
      <c r="Q127" s="10"/>
      <c r="R127" s="10"/>
      <c r="S127" s="10"/>
      <c r="T127" s="10"/>
      <c r="U127" s="10"/>
      <c r="V127" s="10"/>
    </row>
    <row r="128" spans="1:22" x14ac:dyDescent="0.3">
      <c r="A128" s="5">
        <v>140.66666666666666</v>
      </c>
      <c r="B128" s="10">
        <f t="shared" ref="B128:K128" si="20">B114+B51</f>
        <v>2.8749999999999998E-2</v>
      </c>
      <c r="C128" s="10">
        <f t="shared" si="20"/>
        <v>2.1666999999999999E-2</v>
      </c>
      <c r="D128" s="10">
        <f t="shared" si="20"/>
        <v>-1.1667E-2</v>
      </c>
      <c r="E128" s="10">
        <f t="shared" si="20"/>
        <v>-6.6670000000000002E-3</v>
      </c>
      <c r="F128" s="10">
        <f t="shared" si="20"/>
        <v>-4.7500000000000001E-2</v>
      </c>
      <c r="G128" s="10">
        <f t="shared" si="20"/>
        <v>-4.6249999999999999E-2</v>
      </c>
      <c r="H128" s="10">
        <f t="shared" si="20"/>
        <v>-7.291700000000001E-2</v>
      </c>
      <c r="I128" s="10">
        <f t="shared" si="20"/>
        <v>-7.4167000000000011E-2</v>
      </c>
      <c r="J128" s="10">
        <f t="shared" si="20"/>
        <v>-8.4935999999999998E-2</v>
      </c>
      <c r="K128" s="10">
        <f t="shared" si="20"/>
        <v>-0.1352566</v>
      </c>
      <c r="M128" s="10"/>
      <c r="N128" s="10"/>
      <c r="O128" s="10"/>
      <c r="P128" s="10"/>
      <c r="Q128" s="10"/>
      <c r="R128" s="10"/>
      <c r="S128" s="10"/>
      <c r="T128" s="10"/>
      <c r="U128" s="10"/>
      <c r="V128" s="10"/>
    </row>
    <row r="129" spans="1:22" x14ac:dyDescent="0.3">
      <c r="A129" s="5">
        <v>162.11111111111109</v>
      </c>
      <c r="B129" s="10">
        <f t="shared" ref="B129:K129" si="21">B115+B52</f>
        <v>2.375E-2</v>
      </c>
      <c r="C129" s="10">
        <f t="shared" si="21"/>
        <v>-1.7500000000000002E-2</v>
      </c>
      <c r="D129" s="10">
        <f t="shared" si="21"/>
        <v>-3.2500000000000001E-2</v>
      </c>
      <c r="E129" s="10">
        <f t="shared" si="21"/>
        <v>-1.5417E-2</v>
      </c>
      <c r="F129" s="10">
        <f t="shared" si="21"/>
        <v>-5.2083000000000004E-2</v>
      </c>
      <c r="G129" s="10">
        <f t="shared" si="21"/>
        <v>-5.2500000000000005E-2</v>
      </c>
      <c r="H129" s="10">
        <f t="shared" si="21"/>
        <v>-8.6249999999999993E-2</v>
      </c>
      <c r="I129" s="10">
        <f t="shared" si="21"/>
        <v>-8.5832999999999993E-2</v>
      </c>
      <c r="J129" s="10">
        <f t="shared" si="21"/>
        <v>-0.12198200000000001</v>
      </c>
      <c r="K129" s="10">
        <f t="shared" si="21"/>
        <v>-0.15133659999999999</v>
      </c>
      <c r="M129" s="10"/>
      <c r="N129" s="10"/>
      <c r="O129" s="10"/>
      <c r="P129" s="10"/>
      <c r="Q129" s="10"/>
      <c r="R129" s="10"/>
      <c r="S129" s="10"/>
      <c r="T129" s="10"/>
      <c r="U129" s="10"/>
      <c r="V129" s="10"/>
    </row>
    <row r="130" spans="1:22" x14ac:dyDescent="0.3">
      <c r="A130" s="5">
        <v>183.55555555555554</v>
      </c>
      <c r="B130" s="10">
        <f t="shared" ref="B130:K130" si="22">B116+B53</f>
        <v>-7.0126999999999995E-2</v>
      </c>
      <c r="C130" s="10">
        <f t="shared" si="22"/>
        <v>-6.7500000000000004E-2</v>
      </c>
      <c r="D130" s="10">
        <f t="shared" si="22"/>
        <v>-6.8750000000000006E-2</v>
      </c>
      <c r="E130" s="10">
        <f t="shared" si="22"/>
        <v>-4.0417000000000002E-2</v>
      </c>
      <c r="F130" s="10">
        <f t="shared" si="22"/>
        <v>-6.7500000000000004E-2</v>
      </c>
      <c r="G130" s="10">
        <f t="shared" si="22"/>
        <v>-6.7083000000000004E-2</v>
      </c>
      <c r="H130" s="10">
        <f t="shared" si="22"/>
        <v>-9.3332999999999999E-2</v>
      </c>
      <c r="I130" s="10">
        <f t="shared" si="22"/>
        <v>-9.8750000000000004E-2</v>
      </c>
      <c r="J130" s="10">
        <f t="shared" si="22"/>
        <v>-0.16486600000000001</v>
      </c>
      <c r="K130" s="10">
        <f t="shared" si="22"/>
        <v>-0.17624700000000001</v>
      </c>
      <c r="M130" s="10"/>
      <c r="N130" s="10"/>
      <c r="O130" s="10"/>
      <c r="P130" s="10"/>
      <c r="Q130" s="10"/>
      <c r="R130" s="10"/>
      <c r="S130" s="10"/>
      <c r="T130" s="10"/>
      <c r="U130" s="10"/>
      <c r="V130" s="10"/>
    </row>
    <row r="131" spans="1:22" x14ac:dyDescent="0.3">
      <c r="A131" s="5">
        <v>205</v>
      </c>
      <c r="B131" s="10">
        <f t="shared" ref="B131:K131" si="23">B117+B54</f>
        <v>-8.2589999999999997E-2</v>
      </c>
      <c r="C131" s="10">
        <f t="shared" si="23"/>
        <v>-5.0416999999999997E-2</v>
      </c>
      <c r="D131" s="10">
        <f t="shared" si="23"/>
        <v>-0.05</v>
      </c>
      <c r="E131" s="10">
        <f t="shared" si="23"/>
        <v>-1.7499999999999998E-2</v>
      </c>
      <c r="F131" s="10">
        <f t="shared" si="23"/>
        <v>-6.7083000000000004E-2</v>
      </c>
      <c r="G131" s="10">
        <f t="shared" si="23"/>
        <v>-7.0000000000000007E-2</v>
      </c>
      <c r="H131" s="10">
        <f t="shared" si="23"/>
        <v>-9.5000000000000001E-2</v>
      </c>
      <c r="I131" s="10">
        <f t="shared" si="23"/>
        <v>-0.1075</v>
      </c>
      <c r="J131" s="10">
        <f t="shared" si="23"/>
        <v>-0.163996</v>
      </c>
      <c r="K131" s="10">
        <f t="shared" si="23"/>
        <v>-0.17537700000000001</v>
      </c>
      <c r="M131" s="10"/>
      <c r="N131" s="10"/>
      <c r="P131" s="10"/>
      <c r="R131" s="10"/>
    </row>
    <row r="132" spans="1:22" x14ac:dyDescent="0.3">
      <c r="B132" s="4" t="s">
        <v>81</v>
      </c>
      <c r="K132" s="4" t="s">
        <v>83</v>
      </c>
      <c r="M132" s="10"/>
    </row>
    <row r="133" spans="1:22" x14ac:dyDescent="0.3">
      <c r="M133" s="10">
        <f>M109-M123</f>
        <v>0</v>
      </c>
    </row>
    <row r="134" spans="1:22" x14ac:dyDescent="0.3">
      <c r="A134" t="str">
        <f t="shared" ref="A134:A143" si="24">"#*#        " &amp;TEXT(B122,"0.000000") &amp; ",  "&amp;TEXT(C122,"0.000000")&amp;",  "&amp;TEXT(D122,"0.000000")&amp;",  "&amp;TEXT(E122,"0.000000")&amp;",   "&amp;TEXT(F122,"0.000000")&amp;",  "&amp;TEXT(G122,"0.000000")&amp;",  "&amp;TEXT(H122,"0.000000")&amp;",  "&amp;TEXT(I122,"0.000000")&amp;",  "&amp;TEXT(J122,"0.000000")&amp;", "&amp;TEXT(K122,"0.000000")</f>
        <v>#*#        0.025726,  -0.074167,  -0.126667,  -0.110000,   -0.129583,  -0.108750,  -0.127083,  -0.121250,  -0.102763, -0.130811</v>
      </c>
      <c r="H134" t="s">
        <v>249</v>
      </c>
    </row>
    <row r="135" spans="1:22" x14ac:dyDescent="0.3">
      <c r="A135" t="str">
        <f t="shared" si="24"/>
        <v>#*#        -0.003541,  -0.062083,  -0.100000,  -0.086250,   -0.104167,  -0.093750,  -0.104167,  -0.090833,  -0.091197, -0.121328</v>
      </c>
      <c r="C135" s="4"/>
      <c r="H135" t="s">
        <v>105</v>
      </c>
    </row>
    <row r="136" spans="1:22" x14ac:dyDescent="0.3">
      <c r="A136" t="str">
        <f t="shared" si="24"/>
        <v>#*#        0.000833,  0.002500,  -0.045833,  -0.044167,   -0.076250,  -0.063333,  -0.085417,  -0.072917,  -0.082965, -0.106429</v>
      </c>
      <c r="D136" s="4"/>
      <c r="E136" s="4"/>
      <c r="F136" s="4"/>
      <c r="G136" s="4"/>
      <c r="H136" t="s">
        <v>106</v>
      </c>
      <c r="K136" s="4"/>
    </row>
    <row r="137" spans="1:22" x14ac:dyDescent="0.3">
      <c r="A137" t="str">
        <f t="shared" si="24"/>
        <v>#*#        0.009583,  -0.000417,  -0.027917,  -0.017917,   -0.055417,  -0.045417,  -0.070000,  -0.059583,  -0.058069, -0.114033</v>
      </c>
      <c r="D137" s="6"/>
      <c r="E137" s="6"/>
      <c r="F137" s="6"/>
      <c r="G137" s="6"/>
      <c r="H137" t="s">
        <v>107</v>
      </c>
    </row>
    <row r="138" spans="1:22" x14ac:dyDescent="0.3">
      <c r="A138" t="str">
        <f t="shared" si="24"/>
        <v>#*#        0.025833,  0.020833,  -0.005000,  -0.000833,   -0.046667,  -0.041250,  -0.071667,  -0.062083,  -0.068342, -0.131807</v>
      </c>
      <c r="H138" t="s">
        <v>108</v>
      </c>
    </row>
    <row r="139" spans="1:22" x14ac:dyDescent="0.3">
      <c r="A139" t="str">
        <f t="shared" si="24"/>
        <v>#*#        0.034583,  0.020417,  -0.007500,  -0.006667,   -0.060833,  -0.053333,  -0.072500,  -0.066667,  -0.073722, -0.134635</v>
      </c>
      <c r="H139" t="s">
        <v>109</v>
      </c>
    </row>
    <row r="140" spans="1:22" x14ac:dyDescent="0.3">
      <c r="A140" t="str">
        <f t="shared" si="24"/>
        <v>#*#        0.028750,  0.021667,  -0.011667,  -0.006667,   -0.047500,  -0.046250,  -0.072917,  -0.074167,  -0.084936, -0.135257</v>
      </c>
      <c r="H140" t="s">
        <v>110</v>
      </c>
    </row>
    <row r="141" spans="1:22" x14ac:dyDescent="0.3">
      <c r="A141" t="str">
        <f t="shared" si="24"/>
        <v>#*#        0.023750,  -0.017500,  -0.032500,  -0.015417,   -0.052083,  -0.052500,  -0.086250,  -0.085833,  -0.121982, -0.151337</v>
      </c>
      <c r="H141" t="s">
        <v>111</v>
      </c>
    </row>
    <row r="142" spans="1:22" x14ac:dyDescent="0.3">
      <c r="A142" t="str">
        <f t="shared" si="24"/>
        <v>#*#        -0.070127,  -0.067500,  -0.068750,  -0.040417,   -0.067500,  -0.067083,  -0.093333,  -0.098750,  -0.164866, -0.176247</v>
      </c>
      <c r="C142" s="4"/>
      <c r="H142" t="s">
        <v>112</v>
      </c>
    </row>
    <row r="143" spans="1:22" x14ac:dyDescent="0.3">
      <c r="A143" t="str">
        <f t="shared" si="24"/>
        <v>#*#        -0.082590,  -0.050417,  -0.050000,  -0.017500,   -0.067083,  -0.070000,  -0.095000,  -0.107500,  -0.163996, -0.175377</v>
      </c>
      <c r="G143" s="7"/>
      <c r="H143" t="s">
        <v>113</v>
      </c>
    </row>
    <row r="144" spans="1:22" x14ac:dyDescent="0.3">
      <c r="C144" s="5"/>
      <c r="D144" s="5"/>
      <c r="E144" s="5"/>
      <c r="F144" s="5"/>
      <c r="G144" s="5"/>
      <c r="H144" s="5"/>
      <c r="I144" s="5"/>
      <c r="J144" s="5"/>
      <c r="K144" s="5"/>
      <c r="L144" s="5"/>
      <c r="M144" s="5"/>
      <c r="N144" s="5"/>
      <c r="O144" s="5"/>
      <c r="P144" s="5"/>
      <c r="Q144" s="5"/>
      <c r="R144" s="5"/>
      <c r="S144" s="5"/>
    </row>
    <row r="145" spans="1:16" x14ac:dyDescent="0.3">
      <c r="F145" s="5"/>
      <c r="O145" s="2"/>
    </row>
    <row r="146" spans="1:16" x14ac:dyDescent="0.3">
      <c r="C146" s="5"/>
      <c r="D146" s="6"/>
      <c r="E146" s="6"/>
      <c r="H146" s="4"/>
      <c r="J146" s="4"/>
      <c r="L146" s="6"/>
    </row>
    <row r="147" spans="1:16" x14ac:dyDescent="0.3">
      <c r="C147" s="5"/>
      <c r="D147" s="6"/>
      <c r="E147" s="6"/>
      <c r="H147" s="4"/>
      <c r="J147" s="5"/>
      <c r="L147" s="6"/>
      <c r="O147" s="2"/>
    </row>
    <row r="148" spans="1:16" x14ac:dyDescent="0.3">
      <c r="L148" s="6"/>
      <c r="M148" s="6"/>
      <c r="N148" s="6"/>
    </row>
    <row r="149" spans="1:16" x14ac:dyDescent="0.3">
      <c r="A149" s="5">
        <v>205</v>
      </c>
      <c r="B149" s="13">
        <v>-9.8422999999999997E-2</v>
      </c>
      <c r="C149" s="13">
        <v>-0.06</v>
      </c>
      <c r="D149" s="13">
        <v>-0.04</v>
      </c>
      <c r="E149" s="13">
        <v>-0.03</v>
      </c>
      <c r="F149" s="13">
        <v>-0.03</v>
      </c>
      <c r="G149" s="13">
        <v>-0.03</v>
      </c>
      <c r="H149" s="13">
        <v>-0.03</v>
      </c>
      <c r="I149" s="13">
        <v>-0.03</v>
      </c>
      <c r="J149" s="13">
        <v>-7.9828999999999997E-2</v>
      </c>
      <c r="K149" s="13">
        <v>-0.14871000000000001</v>
      </c>
      <c r="L149" s="5"/>
      <c r="N149" s="5"/>
    </row>
    <row r="150" spans="1:16" x14ac:dyDescent="0.3">
      <c r="A150" s="5">
        <v>183.55555555555554</v>
      </c>
      <c r="B150" s="13">
        <v>-7.0959999999999995E-2</v>
      </c>
      <c r="C150" s="13">
        <v>-0.06</v>
      </c>
      <c r="D150" s="13">
        <v>-0.03</v>
      </c>
      <c r="E150" s="13">
        <v>-0.02</v>
      </c>
      <c r="F150" s="13">
        <v>-0.02</v>
      </c>
      <c r="G150" s="13">
        <v>-0.02</v>
      </c>
      <c r="H150" s="13">
        <v>-0.02</v>
      </c>
      <c r="I150" s="13">
        <v>-0.02</v>
      </c>
      <c r="J150" s="13">
        <v>-7.8616000000000005E-2</v>
      </c>
      <c r="K150" s="13">
        <v>-0.14041400000000001</v>
      </c>
      <c r="L150" s="5"/>
      <c r="N150" s="5"/>
    </row>
    <row r="151" spans="1:16" x14ac:dyDescent="0.3">
      <c r="A151" s="5">
        <v>162.11111111111109</v>
      </c>
      <c r="B151" s="13">
        <v>-0.01</v>
      </c>
      <c r="C151" s="13">
        <v>-3.5000000000000003E-2</v>
      </c>
      <c r="D151" s="13">
        <v>-0.01</v>
      </c>
      <c r="E151" s="13">
        <v>-0.01</v>
      </c>
      <c r="F151" s="13">
        <v>-0.01</v>
      </c>
      <c r="G151" s="13">
        <v>-0.01</v>
      </c>
      <c r="H151" s="13">
        <v>-0.01</v>
      </c>
      <c r="I151" s="13">
        <v>-0.01</v>
      </c>
      <c r="J151" s="13">
        <v>-5.3649000000000002E-2</v>
      </c>
      <c r="K151" s="13">
        <v>-0.1209196</v>
      </c>
      <c r="L151" s="5"/>
      <c r="N151" s="5"/>
    </row>
    <row r="152" spans="1:16" x14ac:dyDescent="0.3">
      <c r="A152" s="5">
        <v>140.66666666666666</v>
      </c>
      <c r="B152" s="13">
        <v>-0.01</v>
      </c>
      <c r="C152" s="13">
        <v>-0.01</v>
      </c>
      <c r="D152" s="13">
        <v>-5.0000000000000001E-3</v>
      </c>
      <c r="E152" s="13">
        <v>-5.0000000000000001E-3</v>
      </c>
      <c r="F152" s="13">
        <v>-5.0000000000000001E-3</v>
      </c>
      <c r="G152" s="13">
        <v>-5.0000000000000001E-3</v>
      </c>
      <c r="H152" s="13">
        <v>-5.0000000000000001E-3</v>
      </c>
      <c r="I152" s="13">
        <v>-5.0000000000000001E-3</v>
      </c>
      <c r="J152" s="13">
        <v>-1.826899999999999E-2</v>
      </c>
      <c r="K152" s="13">
        <v>-0.1102566</v>
      </c>
      <c r="L152" s="5"/>
      <c r="N152" s="5"/>
    </row>
    <row r="153" spans="1:16" x14ac:dyDescent="0.3">
      <c r="A153" s="5">
        <v>119.22222222222221</v>
      </c>
      <c r="B153" s="13">
        <v>-0.01</v>
      </c>
      <c r="C153" s="13">
        <v>-0.01</v>
      </c>
      <c r="D153" s="13">
        <v>0</v>
      </c>
      <c r="E153" s="13">
        <v>0</v>
      </c>
      <c r="F153" s="13">
        <v>0</v>
      </c>
      <c r="G153" s="13">
        <v>0</v>
      </c>
      <c r="H153" s="13">
        <v>0</v>
      </c>
      <c r="I153" s="13">
        <v>0</v>
      </c>
      <c r="J153" s="13">
        <v>-1.4972000000000003E-2</v>
      </c>
      <c r="K153" s="13">
        <v>-0.12005200000000001</v>
      </c>
      <c r="L153" s="6"/>
      <c r="M153" s="6"/>
      <c r="N153" s="6"/>
    </row>
    <row r="154" spans="1:16" x14ac:dyDescent="0.3">
      <c r="A154" s="5">
        <v>97.777777777777771</v>
      </c>
      <c r="B154" s="13">
        <v>-0.01</v>
      </c>
      <c r="C154" s="13">
        <v>-0.01</v>
      </c>
      <c r="D154" s="13">
        <v>0</v>
      </c>
      <c r="E154" s="13">
        <v>0</v>
      </c>
      <c r="F154" s="13">
        <v>0</v>
      </c>
      <c r="G154" s="13">
        <v>0</v>
      </c>
      <c r="H154" s="13">
        <v>0</v>
      </c>
      <c r="I154" s="13">
        <v>0</v>
      </c>
      <c r="J154" s="13">
        <v>-1.2589999999999997E-3</v>
      </c>
      <c r="K154" s="13">
        <v>-0.11389000000000001</v>
      </c>
      <c r="L154" s="6"/>
      <c r="O154" s="3"/>
    </row>
    <row r="155" spans="1:16" x14ac:dyDescent="0.3">
      <c r="A155" s="5">
        <v>76.333333333333329</v>
      </c>
      <c r="B155" s="13">
        <v>-0.01</v>
      </c>
      <c r="C155" s="13">
        <v>-0.01</v>
      </c>
      <c r="D155" s="13">
        <v>0</v>
      </c>
      <c r="E155" s="13">
        <v>0</v>
      </c>
      <c r="F155" s="13">
        <v>0</v>
      </c>
      <c r="G155" s="13">
        <v>0</v>
      </c>
      <c r="H155" s="13">
        <v>0</v>
      </c>
      <c r="I155" s="13">
        <v>0</v>
      </c>
      <c r="J155" s="13">
        <v>1.0264000000000006E-2</v>
      </c>
      <c r="K155" s="13">
        <v>-9.6115999999999993E-2</v>
      </c>
      <c r="L155" s="6"/>
      <c r="O155" s="2"/>
    </row>
    <row r="156" spans="1:16" x14ac:dyDescent="0.3">
      <c r="A156" s="5">
        <v>54.888888888888886</v>
      </c>
      <c r="B156" s="13">
        <v>-0.01</v>
      </c>
      <c r="C156" s="13">
        <v>-0.01</v>
      </c>
      <c r="D156" s="13">
        <v>0</v>
      </c>
      <c r="E156" s="13">
        <v>0</v>
      </c>
      <c r="F156" s="13">
        <v>0</v>
      </c>
      <c r="G156" s="13">
        <v>0</v>
      </c>
      <c r="H156" s="13">
        <v>0</v>
      </c>
      <c r="I156" s="13">
        <v>0</v>
      </c>
      <c r="J156" s="13">
        <v>-8.3819999999999971E-3</v>
      </c>
      <c r="K156" s="13">
        <v>-6.6012000000000001E-2</v>
      </c>
      <c r="L156" s="6"/>
    </row>
    <row r="157" spans="1:16" x14ac:dyDescent="0.3">
      <c r="A157" s="5">
        <v>33.444444444444443</v>
      </c>
      <c r="B157" s="13">
        <v>3.5626000000000005E-2</v>
      </c>
      <c r="C157" s="13">
        <v>-0.02</v>
      </c>
      <c r="D157" s="13">
        <v>0</v>
      </c>
      <c r="E157" s="13">
        <v>0</v>
      </c>
      <c r="F157" s="13">
        <v>0</v>
      </c>
      <c r="G157" s="13">
        <v>0</v>
      </c>
      <c r="H157" s="13">
        <v>0</v>
      </c>
      <c r="I157" s="13">
        <v>0</v>
      </c>
      <c r="J157" s="13">
        <v>-1.0363999999999995E-2</v>
      </c>
      <c r="K157" s="13">
        <v>-3.0495000000000005E-2</v>
      </c>
      <c r="L157" s="6"/>
      <c r="M157" s="6"/>
      <c r="N157" s="6"/>
      <c r="O157" s="6"/>
      <c r="P157" s="6"/>
    </row>
    <row r="158" spans="1:16" x14ac:dyDescent="0.3">
      <c r="A158" s="5">
        <v>12</v>
      </c>
      <c r="B158" s="13">
        <v>6.4892999999999992E-2</v>
      </c>
      <c r="C158" s="13">
        <v>-0.02</v>
      </c>
      <c r="D158" s="13">
        <v>-1.4999999999999999E-2</v>
      </c>
      <c r="E158" s="13">
        <v>-0.01</v>
      </c>
      <c r="F158" s="13">
        <v>0</v>
      </c>
      <c r="G158" s="13">
        <v>0</v>
      </c>
      <c r="H158" s="13">
        <v>-0.01</v>
      </c>
      <c r="I158" s="13">
        <v>-0.01</v>
      </c>
      <c r="J158" s="13">
        <v>1.4039999999999921E-3</v>
      </c>
      <c r="K158" s="13">
        <v>-3.9144000000000012E-2</v>
      </c>
    </row>
    <row r="159" spans="1:16" x14ac:dyDescent="0.3">
      <c r="A159" s="21" t="s">
        <v>227</v>
      </c>
      <c r="B159" s="5">
        <v>27</v>
      </c>
      <c r="C159" s="5">
        <v>47.333333333333329</v>
      </c>
      <c r="D159" s="5">
        <v>67.666666666666657</v>
      </c>
      <c r="E159" s="5">
        <v>87.999999999999986</v>
      </c>
      <c r="F159" s="5">
        <v>108.33333333333331</v>
      </c>
      <c r="G159" s="5">
        <v>128.66666666666666</v>
      </c>
      <c r="H159" s="5">
        <v>149</v>
      </c>
      <c r="I159" s="5">
        <v>169.33333333333334</v>
      </c>
      <c r="J159" s="5">
        <v>189.66666666666669</v>
      </c>
      <c r="K159" s="5">
        <v>210</v>
      </c>
    </row>
  </sheetData>
  <sortState xmlns:xlrd2="http://schemas.microsoft.com/office/spreadsheetml/2017/richdata2" ref="A149:K158">
    <sortCondition descending="1" ref="A149:A158"/>
  </sortState>
  <mergeCells count="3">
    <mergeCell ref="H67:I67"/>
    <mergeCell ref="J67:K67"/>
    <mergeCell ref="N67:O67"/>
  </mergeCells>
  <conditionalFormatting sqref="B105:K105 M105:V105">
    <cfRule type="colorScale" priority="20">
      <colorScale>
        <cfvo type="num" val="-0.1"/>
        <cfvo type="num" val="0"/>
        <cfvo type="num" val="0.1"/>
        <color rgb="FF00B0F0"/>
        <color theme="0"/>
        <color rgb="FFFF0000"/>
      </colorScale>
    </cfRule>
  </conditionalFormatting>
  <conditionalFormatting sqref="B45:K54">
    <cfRule type="colorScale" priority="19">
      <colorScale>
        <cfvo type="num" val="-0.15"/>
        <cfvo type="num" val="0"/>
        <cfvo type="num" val="0.15"/>
        <color rgb="FF00B0F0"/>
        <color theme="0"/>
        <color rgb="FFFF0000"/>
      </colorScale>
    </cfRule>
  </conditionalFormatting>
  <conditionalFormatting sqref="B122:K131">
    <cfRule type="colorScale" priority="7">
      <colorScale>
        <cfvo type="num" val="-0.15"/>
        <cfvo type="num" val="0"/>
        <cfvo type="num" val="0.15"/>
        <color rgb="FF00B0F0"/>
        <color theme="0"/>
        <color rgb="FFFF0000"/>
      </colorScale>
    </cfRule>
  </conditionalFormatting>
  <conditionalFormatting sqref="M108:V117">
    <cfRule type="colorScale" priority="5">
      <colorScale>
        <cfvo type="num" val="-0.1"/>
        <cfvo type="num" val="0"/>
        <cfvo type="num" val="0.1"/>
        <color rgb="FF00B0F0"/>
        <color theme="0"/>
        <color rgb="FFFF0000"/>
      </colorScale>
    </cfRule>
  </conditionalFormatting>
  <conditionalFormatting sqref="B108:K117">
    <cfRule type="colorScale" priority="2">
      <colorScale>
        <cfvo type="num" val="-0.15"/>
        <cfvo type="num" val="0"/>
        <cfvo type="num" val="0.15"/>
        <color rgb="FF00B0F0"/>
        <color theme="0"/>
        <color rgb="FFFF0000"/>
      </colorScale>
    </cfRule>
  </conditionalFormatting>
  <conditionalFormatting sqref="B149:K158">
    <cfRule type="colorScale" priority="1">
      <colorScale>
        <cfvo type="num" val="-0.15"/>
        <cfvo type="num" val="0"/>
        <cfvo type="num" val="0.15"/>
        <color rgb="FF00B0F0"/>
        <color theme="0"/>
        <color rgb="FFFF0000"/>
      </colorScale>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6C4A40-A23B-463C-83FC-1C89672A5336}">
  <dimension ref="A18:AB214"/>
  <sheetViews>
    <sheetView tabSelected="1" zoomScaleNormal="100" workbookViewId="0">
      <selection activeCell="A12" sqref="A12"/>
    </sheetView>
  </sheetViews>
  <sheetFormatPr defaultRowHeight="14.4" x14ac:dyDescent="0.3"/>
  <cols>
    <col min="1" max="1" width="19.5546875" customWidth="1"/>
    <col min="3" max="3" width="12.21875" customWidth="1"/>
    <col min="4" max="4" width="13.6640625" customWidth="1"/>
    <col min="5" max="5" width="12.44140625" customWidth="1"/>
    <col min="6" max="6" width="12.5546875" customWidth="1"/>
    <col min="7" max="7" width="15.6640625" customWidth="1"/>
    <col min="8" max="8" width="16" customWidth="1"/>
    <col min="9" max="9" width="14.33203125" customWidth="1"/>
    <col min="10" max="10" width="19.109375" customWidth="1"/>
    <col min="11" max="11" width="19.77734375" customWidth="1"/>
    <col min="12" max="12" width="17.88671875" customWidth="1"/>
    <col min="13" max="13" width="20" customWidth="1"/>
    <col min="14" max="14" width="18.44140625" customWidth="1"/>
    <col min="15" max="15" width="16.33203125" customWidth="1"/>
    <col min="16" max="16" width="17.6640625" customWidth="1"/>
    <col min="17" max="17" width="12.77734375" customWidth="1"/>
    <col min="18" max="18" width="14.6640625" customWidth="1"/>
    <col min="19" max="19" width="12.21875" customWidth="1"/>
    <col min="20" max="20" width="13.109375" customWidth="1"/>
    <col min="21" max="21" width="14.44140625" customWidth="1"/>
    <col min="22" max="22" width="14.21875" customWidth="1"/>
    <col min="23" max="23" width="10.88671875" customWidth="1"/>
    <col min="24" max="24" width="10.6640625" customWidth="1"/>
    <col min="25" max="25" width="11.77734375" customWidth="1"/>
    <col min="26" max="26" width="11" customWidth="1"/>
  </cols>
  <sheetData>
    <row r="18" spans="1:18" x14ac:dyDescent="0.3">
      <c r="A18" t="s">
        <v>95</v>
      </c>
      <c r="B18">
        <v>20.332999999999998</v>
      </c>
    </row>
    <row r="19" spans="1:18" x14ac:dyDescent="0.3">
      <c r="A19" t="s">
        <v>96</v>
      </c>
      <c r="B19">
        <v>21.443999999999999</v>
      </c>
    </row>
    <row r="20" spans="1:18" x14ac:dyDescent="0.3">
      <c r="B20">
        <v>5</v>
      </c>
    </row>
    <row r="21" spans="1:18" x14ac:dyDescent="0.3">
      <c r="A21" s="6"/>
      <c r="B21" s="5"/>
    </row>
    <row r="22" spans="1:18" x14ac:dyDescent="0.3">
      <c r="A22" s="6"/>
      <c r="B22" s="5"/>
    </row>
    <row r="24" spans="1:18" x14ac:dyDescent="0.3">
      <c r="G24" t="s">
        <v>149</v>
      </c>
      <c r="H24">
        <v>1.5</v>
      </c>
    </row>
    <row r="25" spans="1:18" x14ac:dyDescent="0.3">
      <c r="A25" s="4" t="s">
        <v>115</v>
      </c>
      <c r="B25" s="4" t="s">
        <v>120</v>
      </c>
      <c r="C25" s="4" t="s">
        <v>117</v>
      </c>
      <c r="D25" s="4" t="s">
        <v>116</v>
      </c>
      <c r="E25" s="4" t="s">
        <v>122</v>
      </c>
    </row>
    <row r="26" spans="1:18" x14ac:dyDescent="0.3">
      <c r="A26" s="6">
        <v>0</v>
      </c>
      <c r="B26" s="6">
        <f>32</f>
        <v>32</v>
      </c>
      <c r="C26" s="5">
        <v>27</v>
      </c>
      <c r="D26" s="5">
        <v>12</v>
      </c>
      <c r="E26">
        <v>7</v>
      </c>
      <c r="G26" t="s">
        <v>205</v>
      </c>
    </row>
    <row r="27" spans="1:18" x14ac:dyDescent="0.3">
      <c r="A27" s="6">
        <f t="shared" ref="A27:A35" si="0">A26+$B$18</f>
        <v>20.332999999999998</v>
      </c>
      <c r="B27" s="6">
        <f t="shared" ref="B27:B35" si="1">B26+$B$19</f>
        <v>53.444000000000003</v>
      </c>
      <c r="C27" s="5">
        <f t="shared" ref="C27:C35" si="2">C26+$B$18</f>
        <v>47.332999999999998</v>
      </c>
      <c r="D27" s="5">
        <f t="shared" ref="D27:D35" si="3">D26+$B$19</f>
        <v>33.444000000000003</v>
      </c>
      <c r="E27">
        <f t="shared" ref="E27:E35" si="4">E26+$B$19</f>
        <v>28.443999999999999</v>
      </c>
      <c r="H27" t="s">
        <v>130</v>
      </c>
      <c r="I27" t="s">
        <v>121</v>
      </c>
      <c r="J27" t="s">
        <v>129</v>
      </c>
      <c r="K27" t="s">
        <v>151</v>
      </c>
      <c r="L27" t="s">
        <v>150</v>
      </c>
      <c r="M27" t="s">
        <v>161</v>
      </c>
      <c r="N27" t="s">
        <v>162</v>
      </c>
      <c r="P27" t="s">
        <v>160</v>
      </c>
      <c r="Q27" t="s">
        <v>152</v>
      </c>
      <c r="R27" t="s">
        <v>153</v>
      </c>
    </row>
    <row r="28" spans="1:18" x14ac:dyDescent="0.3">
      <c r="A28" s="6">
        <f t="shared" si="0"/>
        <v>40.665999999999997</v>
      </c>
      <c r="B28" s="6">
        <f t="shared" si="1"/>
        <v>74.888000000000005</v>
      </c>
      <c r="C28" s="5">
        <f t="shared" si="2"/>
        <v>67.665999999999997</v>
      </c>
      <c r="D28" s="5">
        <f t="shared" si="3"/>
        <v>54.888000000000005</v>
      </c>
      <c r="E28">
        <f t="shared" si="4"/>
        <v>49.887999999999998</v>
      </c>
      <c r="G28" t="s">
        <v>125</v>
      </c>
      <c r="H28" t="s">
        <v>123</v>
      </c>
      <c r="I28" t="s">
        <v>137</v>
      </c>
      <c r="J28" t="s">
        <v>124</v>
      </c>
      <c r="K28">
        <v>1.5129170000000001</v>
      </c>
      <c r="L28">
        <v>8.9999999999999993E-3</v>
      </c>
      <c r="M28" s="19">
        <f t="shared" ref="M28:M36" si="5">$H$24-K28</f>
        <v>-1.2917000000000067E-2</v>
      </c>
      <c r="P28" s="19">
        <f t="shared" ref="P28:P35" si="6">K28+L28</f>
        <v>1.521917</v>
      </c>
    </row>
    <row r="29" spans="1:18" x14ac:dyDescent="0.3">
      <c r="A29" s="6">
        <f t="shared" si="0"/>
        <v>60.998999999999995</v>
      </c>
      <c r="B29" s="6">
        <f t="shared" si="1"/>
        <v>96.332000000000008</v>
      </c>
      <c r="C29" s="5">
        <f t="shared" si="2"/>
        <v>87.998999999999995</v>
      </c>
      <c r="D29" s="5">
        <f t="shared" si="3"/>
        <v>76.332000000000008</v>
      </c>
      <c r="E29">
        <f t="shared" si="4"/>
        <v>71.331999999999994</v>
      </c>
      <c r="G29" t="s">
        <v>127</v>
      </c>
      <c r="H29" t="s">
        <v>138</v>
      </c>
      <c r="I29" s="17" t="s">
        <v>135</v>
      </c>
      <c r="J29" t="s">
        <v>128</v>
      </c>
      <c r="K29">
        <v>1.5940000000000001</v>
      </c>
      <c r="L29">
        <v>-3.0000000000000001E-3</v>
      </c>
      <c r="M29" s="19">
        <f t="shared" si="5"/>
        <v>-9.4000000000000083E-2</v>
      </c>
      <c r="P29" s="19">
        <f t="shared" si="6"/>
        <v>1.5910000000000002</v>
      </c>
    </row>
    <row r="30" spans="1:18" x14ac:dyDescent="0.3">
      <c r="A30" s="6">
        <f t="shared" si="0"/>
        <v>81.331999999999994</v>
      </c>
      <c r="B30" s="6">
        <f t="shared" si="1"/>
        <v>117.77600000000001</v>
      </c>
      <c r="C30" s="5">
        <f t="shared" si="2"/>
        <v>108.33199999999999</v>
      </c>
      <c r="D30" s="5">
        <f t="shared" si="3"/>
        <v>97.77600000000001</v>
      </c>
      <c r="E30">
        <f t="shared" si="4"/>
        <v>92.775999999999996</v>
      </c>
      <c r="G30" t="s">
        <v>140</v>
      </c>
      <c r="H30" t="s">
        <v>131</v>
      </c>
      <c r="I30" s="17" t="s">
        <v>134</v>
      </c>
      <c r="J30" t="s">
        <v>133</v>
      </c>
      <c r="K30">
        <v>1.522</v>
      </c>
      <c r="L30">
        <v>0.02</v>
      </c>
      <c r="M30" s="19">
        <f t="shared" si="5"/>
        <v>-2.200000000000002E-2</v>
      </c>
      <c r="P30" s="19">
        <f t="shared" si="6"/>
        <v>1.542</v>
      </c>
    </row>
    <row r="31" spans="1:18" x14ac:dyDescent="0.3">
      <c r="A31" s="6">
        <f t="shared" si="0"/>
        <v>101.66499999999999</v>
      </c>
      <c r="B31" s="6">
        <f t="shared" si="1"/>
        <v>139.22</v>
      </c>
      <c r="C31" s="5">
        <f t="shared" si="2"/>
        <v>128.66499999999999</v>
      </c>
      <c r="D31" s="5">
        <f t="shared" si="3"/>
        <v>119.22000000000001</v>
      </c>
      <c r="E31">
        <f t="shared" si="4"/>
        <v>114.22</v>
      </c>
      <c r="G31" t="s">
        <v>125</v>
      </c>
      <c r="H31" t="s">
        <v>123</v>
      </c>
      <c r="I31" s="17" t="s">
        <v>158</v>
      </c>
      <c r="J31" t="s">
        <v>124</v>
      </c>
      <c r="K31">
        <v>1.5289999999999999</v>
      </c>
      <c r="L31">
        <v>3.4000000000000002E-2</v>
      </c>
      <c r="M31" s="19">
        <f t="shared" si="5"/>
        <v>-2.8999999999999915E-2</v>
      </c>
      <c r="P31" s="19">
        <f t="shared" si="6"/>
        <v>1.5629999999999999</v>
      </c>
    </row>
    <row r="32" spans="1:18" x14ac:dyDescent="0.3">
      <c r="A32" s="6">
        <f t="shared" si="0"/>
        <v>121.99799999999999</v>
      </c>
      <c r="B32" s="6">
        <f t="shared" si="1"/>
        <v>160.66399999999999</v>
      </c>
      <c r="C32" s="5">
        <f t="shared" si="2"/>
        <v>148.99799999999999</v>
      </c>
      <c r="D32" s="5">
        <f t="shared" si="3"/>
        <v>140.66400000000002</v>
      </c>
      <c r="E32">
        <f t="shared" si="4"/>
        <v>135.66399999999999</v>
      </c>
      <c r="G32" t="s">
        <v>127</v>
      </c>
      <c r="H32" t="s">
        <v>138</v>
      </c>
      <c r="I32" s="17" t="s">
        <v>135</v>
      </c>
      <c r="J32" t="s">
        <v>128</v>
      </c>
      <c r="K32">
        <v>1.6120000000000001</v>
      </c>
      <c r="L32">
        <v>1.6E-2</v>
      </c>
      <c r="M32" s="19">
        <f t="shared" si="5"/>
        <v>-0.1120000000000001</v>
      </c>
      <c r="P32" s="19">
        <f t="shared" si="6"/>
        <v>1.6280000000000001</v>
      </c>
    </row>
    <row r="33" spans="1:18" x14ac:dyDescent="0.3">
      <c r="A33" s="6">
        <f t="shared" si="0"/>
        <v>142.33099999999999</v>
      </c>
      <c r="B33" s="6">
        <f t="shared" si="1"/>
        <v>182.10799999999998</v>
      </c>
      <c r="C33" s="5">
        <f t="shared" si="2"/>
        <v>169.33099999999999</v>
      </c>
      <c r="D33" s="5">
        <f t="shared" si="3"/>
        <v>162.108</v>
      </c>
      <c r="E33">
        <f t="shared" si="4"/>
        <v>157.10799999999998</v>
      </c>
      <c r="G33" t="s">
        <v>125</v>
      </c>
      <c r="H33" t="s">
        <v>145</v>
      </c>
      <c r="I33" t="s">
        <v>157</v>
      </c>
      <c r="J33" t="s">
        <v>144</v>
      </c>
      <c r="K33">
        <v>1.3939999999999999</v>
      </c>
      <c r="L33">
        <v>-4.4999999999999998E-2</v>
      </c>
      <c r="M33" s="19">
        <f t="shared" si="5"/>
        <v>0.10600000000000009</v>
      </c>
      <c r="N33" s="10"/>
      <c r="P33" s="19">
        <f t="shared" si="6"/>
        <v>1.349</v>
      </c>
    </row>
    <row r="34" spans="1:18" x14ac:dyDescent="0.3">
      <c r="A34" s="6">
        <f t="shared" si="0"/>
        <v>162.66399999999999</v>
      </c>
      <c r="B34" s="6">
        <f t="shared" si="1"/>
        <v>203.55199999999996</v>
      </c>
      <c r="C34" s="5">
        <f t="shared" si="2"/>
        <v>189.66399999999999</v>
      </c>
      <c r="D34" s="5">
        <f t="shared" si="3"/>
        <v>183.55199999999999</v>
      </c>
      <c r="E34">
        <f t="shared" si="4"/>
        <v>178.55199999999996</v>
      </c>
      <c r="G34" t="s">
        <v>127</v>
      </c>
      <c r="H34" t="s">
        <v>146</v>
      </c>
      <c r="I34" s="17" t="s">
        <v>147</v>
      </c>
      <c r="J34" t="s">
        <v>148</v>
      </c>
      <c r="K34">
        <v>1.4683330000000001</v>
      </c>
      <c r="L34">
        <v>-5.8000000000000003E-2</v>
      </c>
      <c r="M34" s="19">
        <f t="shared" si="5"/>
        <v>3.166699999999989E-2</v>
      </c>
      <c r="N34" s="10">
        <v>-2.6667E-2</v>
      </c>
      <c r="P34" s="19">
        <f t="shared" si="6"/>
        <v>1.4103330000000001</v>
      </c>
      <c r="Q34" s="19"/>
      <c r="R34" s="10">
        <v>-0.17537700000000001</v>
      </c>
    </row>
    <row r="35" spans="1:18" x14ac:dyDescent="0.3">
      <c r="A35" s="6">
        <f t="shared" si="0"/>
        <v>182.99699999999999</v>
      </c>
      <c r="B35" s="6">
        <f t="shared" si="1"/>
        <v>224.99599999999995</v>
      </c>
      <c r="C35" s="5">
        <f t="shared" si="2"/>
        <v>209.99699999999999</v>
      </c>
      <c r="D35" s="5">
        <f t="shared" si="3"/>
        <v>204.99599999999998</v>
      </c>
      <c r="E35">
        <f t="shared" si="4"/>
        <v>199.99599999999995</v>
      </c>
      <c r="G35" t="s">
        <v>126</v>
      </c>
      <c r="H35" t="s">
        <v>139</v>
      </c>
      <c r="I35" s="17" t="s">
        <v>136</v>
      </c>
      <c r="J35" t="s">
        <v>132</v>
      </c>
      <c r="K35">
        <v>1.4637500000000001</v>
      </c>
      <c r="L35">
        <v>-3.5999999999999997E-2</v>
      </c>
      <c r="M35" s="19">
        <f t="shared" si="5"/>
        <v>3.6249999999999893E-2</v>
      </c>
      <c r="N35" s="10">
        <v>-0.05</v>
      </c>
      <c r="P35" s="19">
        <f t="shared" si="6"/>
        <v>1.4277500000000001</v>
      </c>
      <c r="Q35" s="19"/>
      <c r="R35">
        <v>-0.06</v>
      </c>
    </row>
    <row r="36" spans="1:18" x14ac:dyDescent="0.3">
      <c r="H36" t="s">
        <v>154</v>
      </c>
      <c r="I36" t="s">
        <v>159</v>
      </c>
      <c r="J36" t="s">
        <v>156</v>
      </c>
      <c r="K36" s="19">
        <v>1.319</v>
      </c>
      <c r="L36">
        <v>-0.05</v>
      </c>
      <c r="M36" s="19">
        <f t="shared" si="5"/>
        <v>0.18100000000000005</v>
      </c>
      <c r="N36" s="10">
        <v>-9.1666999999999998E-2</v>
      </c>
      <c r="P36" s="19">
        <f>K36-L36</f>
        <v>1.369</v>
      </c>
      <c r="Q36" s="19"/>
      <c r="R36" s="10">
        <v>-0.13081100000000001</v>
      </c>
    </row>
    <row r="37" spans="1:18" x14ac:dyDescent="0.3">
      <c r="K37" s="19"/>
      <c r="M37" s="19"/>
      <c r="N37" s="10"/>
      <c r="P37" s="19"/>
      <c r="Q37" s="19"/>
      <c r="R37" s="10"/>
    </row>
    <row r="38" spans="1:18" x14ac:dyDescent="0.3">
      <c r="G38" t="s">
        <v>197</v>
      </c>
      <c r="K38" s="19"/>
      <c r="M38" s="19"/>
      <c r="N38" s="10"/>
      <c r="O38" t="s">
        <v>207</v>
      </c>
      <c r="P38" s="19"/>
      <c r="Q38" s="19"/>
      <c r="R38" s="10"/>
    </row>
    <row r="39" spans="1:18" x14ac:dyDescent="0.3">
      <c r="G39" t="s">
        <v>125</v>
      </c>
      <c r="H39" t="s">
        <v>154</v>
      </c>
      <c r="I39" t="s">
        <v>159</v>
      </c>
      <c r="K39" s="19">
        <v>1.5862499999999999</v>
      </c>
      <c r="L39">
        <v>8.5000000000000006E-2</v>
      </c>
      <c r="M39" s="19">
        <f>$H$24-K39</f>
        <v>-8.6249999999999938E-2</v>
      </c>
      <c r="N39" s="10">
        <v>-9.1666999999999998E-2</v>
      </c>
      <c r="O39" s="19">
        <f>K39-L39</f>
        <v>1.50125</v>
      </c>
      <c r="P39" s="19"/>
      <c r="R39">
        <v>-0.13081100000000001</v>
      </c>
    </row>
    <row r="40" spans="1:18" x14ac:dyDescent="0.3">
      <c r="G40" t="s">
        <v>127</v>
      </c>
      <c r="H40" t="s">
        <v>146</v>
      </c>
      <c r="I40" s="17" t="s">
        <v>147</v>
      </c>
      <c r="J40" t="s">
        <v>148</v>
      </c>
      <c r="K40">
        <v>1.31</v>
      </c>
      <c r="L40">
        <v>-0.25</v>
      </c>
      <c r="M40" s="19">
        <f>$H$24-K40</f>
        <v>0.18999999999999995</v>
      </c>
      <c r="N40" s="10">
        <v>-2.6667E-2</v>
      </c>
      <c r="O40" s="19">
        <f t="shared" ref="O40:O42" si="7">K40-L40</f>
        <v>1.56</v>
      </c>
      <c r="R40">
        <v>-0.17537700000000001</v>
      </c>
    </row>
    <row r="41" spans="1:18" x14ac:dyDescent="0.3">
      <c r="G41" t="s">
        <v>127</v>
      </c>
      <c r="H41" t="s">
        <v>146</v>
      </c>
      <c r="I41" s="17" t="s">
        <v>147</v>
      </c>
      <c r="J41" t="s">
        <v>148</v>
      </c>
      <c r="K41">
        <v>1.198</v>
      </c>
      <c r="L41">
        <v>-0.29099999999999998</v>
      </c>
      <c r="M41" s="19">
        <f>$H$24-K41</f>
        <v>0.30200000000000005</v>
      </c>
      <c r="N41" s="10">
        <v>-2.6667E-2</v>
      </c>
      <c r="O41" s="19">
        <f t="shared" si="7"/>
        <v>1.4889999999999999</v>
      </c>
      <c r="R41">
        <v>-0.17537700000000001</v>
      </c>
    </row>
    <row r="42" spans="1:18" x14ac:dyDescent="0.3">
      <c r="G42" t="s">
        <v>164</v>
      </c>
      <c r="H42" t="s">
        <v>165</v>
      </c>
      <c r="I42" t="s">
        <v>166</v>
      </c>
      <c r="K42">
        <v>1.3620000000000001</v>
      </c>
      <c r="L42">
        <v>-0.16900000000000001</v>
      </c>
      <c r="M42">
        <f>$H$24-K42</f>
        <v>0.1379999999999999</v>
      </c>
      <c r="N42">
        <v>-1.4583E-2</v>
      </c>
      <c r="O42">
        <f t="shared" si="7"/>
        <v>1.5310000000000001</v>
      </c>
      <c r="R42">
        <v>-0.134635</v>
      </c>
    </row>
    <row r="43" spans="1:18" x14ac:dyDescent="0.3">
      <c r="N43" t="s">
        <v>91</v>
      </c>
      <c r="O43">
        <f>AVERAGE(O39,O41,O42)</f>
        <v>1.5070833333333333</v>
      </c>
    </row>
    <row r="44" spans="1:18" x14ac:dyDescent="0.3">
      <c r="N44" t="s">
        <v>208</v>
      </c>
    </row>
    <row r="45" spans="1:18" x14ac:dyDescent="0.3">
      <c r="H45" t="s">
        <v>155</v>
      </c>
    </row>
    <row r="46" spans="1:18" x14ac:dyDescent="0.3">
      <c r="L46" t="s">
        <v>163</v>
      </c>
    </row>
    <row r="49" spans="1:27" x14ac:dyDescent="0.3">
      <c r="A49" t="s">
        <v>214</v>
      </c>
    </row>
    <row r="50" spans="1:27" x14ac:dyDescent="0.3">
      <c r="A50" t="s">
        <v>213</v>
      </c>
    </row>
    <row r="52" spans="1:27" x14ac:dyDescent="0.3">
      <c r="B52" t="s">
        <v>177</v>
      </c>
      <c r="C52" t="s">
        <v>167</v>
      </c>
      <c r="D52" t="s">
        <v>178</v>
      </c>
      <c r="E52" t="s">
        <v>179</v>
      </c>
      <c r="F52" t="s">
        <v>168</v>
      </c>
      <c r="G52" t="s">
        <v>169</v>
      </c>
      <c r="H52" s="16" t="s">
        <v>172</v>
      </c>
      <c r="I52" t="s">
        <v>170</v>
      </c>
      <c r="J52" t="s">
        <v>171</v>
      </c>
      <c r="K52" t="s">
        <v>176</v>
      </c>
      <c r="L52" t="s">
        <v>173</v>
      </c>
      <c r="M52" t="s">
        <v>174</v>
      </c>
      <c r="N52" t="s">
        <v>175</v>
      </c>
      <c r="O52" t="s">
        <v>182</v>
      </c>
      <c r="P52" t="s">
        <v>183</v>
      </c>
      <c r="Q52" t="s">
        <v>229</v>
      </c>
      <c r="R52" t="s">
        <v>185</v>
      </c>
      <c r="S52" t="s">
        <v>212</v>
      </c>
      <c r="T52" t="s">
        <v>198</v>
      </c>
    </row>
    <row r="53" spans="1:27" x14ac:dyDescent="0.3">
      <c r="B53">
        <v>1.465417</v>
      </c>
      <c r="C53">
        <f t="shared" ref="C53:C58" si="8">B53-$B$59</f>
        <v>-1.3541333333333183E-2</v>
      </c>
      <c r="D53">
        <v>1.63</v>
      </c>
      <c r="E53">
        <v>1.605</v>
      </c>
      <c r="F53">
        <v>1.46</v>
      </c>
      <c r="G53">
        <v>1.4391670000000001</v>
      </c>
      <c r="H53">
        <v>1.4412499999999999</v>
      </c>
      <c r="I53">
        <v>1.464167</v>
      </c>
      <c r="J53">
        <v>1.549167</v>
      </c>
      <c r="K53">
        <v>1.4816670000000001</v>
      </c>
      <c r="L53">
        <v>1.462917</v>
      </c>
      <c r="M53">
        <v>1.567917</v>
      </c>
      <c r="N53">
        <v>1.5049999999999999</v>
      </c>
      <c r="O53">
        <v>1.585</v>
      </c>
      <c r="P53">
        <v>1.6354169999999999</v>
      </c>
      <c r="Q53">
        <v>1.5629169999999999</v>
      </c>
      <c r="R53">
        <v>1.3741669999999999</v>
      </c>
      <c r="S53">
        <v>1.4575</v>
      </c>
      <c r="T53">
        <v>1.4524999999999999</v>
      </c>
    </row>
    <row r="54" spans="1:27" x14ac:dyDescent="0.3">
      <c r="B54">
        <v>1.4970829999999999</v>
      </c>
      <c r="C54">
        <f t="shared" si="8"/>
        <v>1.8124666666666789E-2</v>
      </c>
      <c r="D54">
        <v>1.6375</v>
      </c>
      <c r="E54">
        <v>1.6033329999999999</v>
      </c>
      <c r="F54">
        <v>1.463333</v>
      </c>
      <c r="G54">
        <v>1.4916670000000001</v>
      </c>
      <c r="H54">
        <v>1.4466669999999999</v>
      </c>
      <c r="I54">
        <v>1.462917</v>
      </c>
      <c r="J54">
        <v>1.5733330000000001</v>
      </c>
      <c r="K54">
        <v>1.4924999999999999</v>
      </c>
      <c r="L54">
        <v>1.464583</v>
      </c>
      <c r="M54">
        <v>1.58125</v>
      </c>
      <c r="N54">
        <v>1.5149999999999999</v>
      </c>
      <c r="O54">
        <v>1.5916669999999999</v>
      </c>
      <c r="P54">
        <v>1.6345829999999999</v>
      </c>
      <c r="Q54">
        <v>1.5645830000000001</v>
      </c>
      <c r="R54">
        <v>1.3641669999999999</v>
      </c>
      <c r="S54">
        <v>1.472083</v>
      </c>
      <c r="T54">
        <v>1.455417</v>
      </c>
    </row>
    <row r="55" spans="1:27" x14ac:dyDescent="0.3">
      <c r="B55">
        <v>1.4737499999999999</v>
      </c>
      <c r="C55">
        <f t="shared" si="8"/>
        <v>-5.2083333333332593E-3</v>
      </c>
      <c r="D55">
        <v>1.6479170000000001</v>
      </c>
      <c r="E55">
        <v>1.597917</v>
      </c>
      <c r="F55">
        <v>1.461667</v>
      </c>
      <c r="G55">
        <v>1.461667</v>
      </c>
      <c r="H55">
        <v>1.452917</v>
      </c>
      <c r="I55">
        <v>1.4637500000000001</v>
      </c>
      <c r="J55">
        <v>1.5854170000000001</v>
      </c>
      <c r="K55">
        <v>1.4837499999999999</v>
      </c>
      <c r="L55">
        <v>1.465417</v>
      </c>
      <c r="M55">
        <v>1.5745830000000001</v>
      </c>
      <c r="N55">
        <v>1.51875</v>
      </c>
      <c r="O55">
        <v>1.586667</v>
      </c>
      <c r="P55">
        <v>1.639583</v>
      </c>
      <c r="Q55">
        <v>1.5741670000000001</v>
      </c>
      <c r="R55">
        <v>1.389167</v>
      </c>
      <c r="S55">
        <v>1.4804170000000001</v>
      </c>
      <c r="T55">
        <v>1.460833</v>
      </c>
    </row>
    <row r="56" spans="1:27" x14ac:dyDescent="0.3">
      <c r="B56">
        <v>1.5</v>
      </c>
      <c r="C56">
        <f t="shared" si="8"/>
        <v>2.1041666666666847E-2</v>
      </c>
      <c r="D56">
        <v>1.651667</v>
      </c>
      <c r="E56">
        <v>1.587917</v>
      </c>
      <c r="F56">
        <v>1.4670829999999999</v>
      </c>
      <c r="G56">
        <v>1.4783329999999999</v>
      </c>
      <c r="H56">
        <v>1.461667</v>
      </c>
      <c r="I56">
        <v>1.463333</v>
      </c>
      <c r="J56">
        <v>1.554583</v>
      </c>
      <c r="K56">
        <v>1.493333</v>
      </c>
      <c r="L56">
        <v>1.464583</v>
      </c>
      <c r="M56">
        <v>1.5595829999999999</v>
      </c>
      <c r="N56">
        <v>1.5091669999999999</v>
      </c>
    </row>
    <row r="57" spans="1:27" x14ac:dyDescent="0.3">
      <c r="B57">
        <v>1.4658329999999999</v>
      </c>
      <c r="C57">
        <f t="shared" si="8"/>
        <v>-1.3125333333333211E-2</v>
      </c>
      <c r="D57">
        <v>1.6545829999999999</v>
      </c>
      <c r="E57">
        <v>1.57125</v>
      </c>
      <c r="F57">
        <v>1.4650000000000001</v>
      </c>
      <c r="G57">
        <v>1.5249999999999999</v>
      </c>
      <c r="H57">
        <v>1.464167</v>
      </c>
      <c r="I57">
        <v>1.464583</v>
      </c>
      <c r="J57">
        <v>1.5520830000000001</v>
      </c>
      <c r="K57">
        <v>1.4950000000000001</v>
      </c>
      <c r="L57">
        <v>1.464167</v>
      </c>
      <c r="M57">
        <v>1.5620830000000001</v>
      </c>
      <c r="N57">
        <v>1.5149999999999999</v>
      </c>
    </row>
    <row r="58" spans="1:27" x14ac:dyDescent="0.3">
      <c r="B58">
        <v>1.4716670000000001</v>
      </c>
      <c r="C58">
        <f t="shared" si="8"/>
        <v>-7.2913333333330943E-3</v>
      </c>
      <c r="D58">
        <v>1.6570830000000001</v>
      </c>
      <c r="W58" t="s">
        <v>244</v>
      </c>
      <c r="AA58" t="s">
        <v>237</v>
      </c>
    </row>
    <row r="59" spans="1:27" x14ac:dyDescent="0.3">
      <c r="A59" t="s">
        <v>79</v>
      </c>
      <c r="B59">
        <f>AVERAGE(B53:B58)</f>
        <v>1.4789583333333332</v>
      </c>
      <c r="C59">
        <f t="shared" ref="C59:D59" si="9">AVERAGE(C53:C58)</f>
        <v>1.4802973661668753E-16</v>
      </c>
      <c r="D59">
        <f t="shared" si="9"/>
        <v>1.6464583333333334</v>
      </c>
      <c r="E59">
        <f>AVERAGE(E53:E58)</f>
        <v>1.5930833999999998</v>
      </c>
      <c r="F59">
        <f>AVERAGE(F53:F58)</f>
        <v>1.4634166</v>
      </c>
      <c r="G59">
        <f t="shared" ref="G59:J59" si="10">AVERAGE(G53:G58)</f>
        <v>1.4791668000000002</v>
      </c>
      <c r="H59">
        <f t="shared" si="10"/>
        <v>1.4533336000000001</v>
      </c>
      <c r="I59">
        <f t="shared" si="10"/>
        <v>1.4637500000000001</v>
      </c>
      <c r="J59">
        <f t="shared" si="10"/>
        <v>1.5629166000000001</v>
      </c>
      <c r="K59">
        <f t="shared" ref="K59" si="11">AVERAGE(K53:K58)</f>
        <v>1.48925</v>
      </c>
      <c r="L59">
        <f t="shared" ref="L59:Q59" si="12">AVERAGE(L53:L58)</f>
        <v>1.4643334000000001</v>
      </c>
      <c r="M59">
        <f t="shared" si="12"/>
        <v>1.5690832000000001</v>
      </c>
      <c r="N59">
        <f t="shared" si="12"/>
        <v>1.5125833999999998</v>
      </c>
      <c r="O59">
        <f t="shared" si="12"/>
        <v>1.5877780000000001</v>
      </c>
      <c r="P59">
        <f t="shared" si="12"/>
        <v>1.6365276666666666</v>
      </c>
      <c r="Q59">
        <f t="shared" si="12"/>
        <v>1.5672223333333335</v>
      </c>
      <c r="R59">
        <f t="shared" ref="R59" si="13">AVERAGE(R53:R58)</f>
        <v>1.3758336666666668</v>
      </c>
      <c r="S59">
        <f t="shared" ref="S59" si="14">AVERAGE(S53:S58)</f>
        <v>1.47</v>
      </c>
      <c r="T59">
        <f t="shared" ref="T59" si="15">AVERAGE(T53:T58)</f>
        <v>1.45625</v>
      </c>
      <c r="V59" t="s">
        <v>234</v>
      </c>
      <c r="W59" s="22" t="s">
        <v>242</v>
      </c>
      <c r="X59" s="23" t="s">
        <v>241</v>
      </c>
      <c r="Y59" s="23" t="s">
        <v>240</v>
      </c>
      <c r="Z59" t="s">
        <v>246</v>
      </c>
      <c r="AA59" s="22" t="s">
        <v>238</v>
      </c>
    </row>
    <row r="60" spans="1:27" x14ac:dyDescent="0.3">
      <c r="A60" t="s">
        <v>7</v>
      </c>
      <c r="B60">
        <f>STDEV(B53:B58)</f>
        <v>1.5538260129971655E-2</v>
      </c>
      <c r="C60">
        <f t="shared" ref="C60:M60" si="16">STDEV(C53:C58)</f>
        <v>1.5538260129971655E-2</v>
      </c>
      <c r="D60">
        <f t="shared" si="16"/>
        <v>1.0576201012966217E-2</v>
      </c>
      <c r="E60">
        <f t="shared" si="16"/>
        <v>1.3908741758333103E-2</v>
      </c>
      <c r="F60">
        <f t="shared" si="16"/>
        <v>2.7699679240019955E-3</v>
      </c>
      <c r="G60">
        <f t="shared" si="16"/>
        <v>3.2263987062977763E-2</v>
      </c>
      <c r="H60">
        <f t="shared" si="16"/>
        <v>9.7138896843643897E-3</v>
      </c>
      <c r="I60">
        <f t="shared" si="16"/>
        <v>6.5870251251986091E-4</v>
      </c>
      <c r="J60">
        <f t="shared" si="16"/>
        <v>1.5737190562486077E-2</v>
      </c>
      <c r="K60">
        <f t="shared" si="16"/>
        <v>6.0837442829231618E-3</v>
      </c>
      <c r="L60">
        <f t="shared" si="16"/>
        <v>9.1277971055450159E-4</v>
      </c>
      <c r="M60">
        <f t="shared" si="16"/>
        <v>8.9288219379714557E-3</v>
      </c>
      <c r="N60">
        <f t="shared" ref="N60:O60" si="17">STDEV(N53:N58)</f>
        <v>5.4517568544461366E-3</v>
      </c>
      <c r="O60">
        <f t="shared" si="17"/>
        <v>3.4695767753430418E-3</v>
      </c>
      <c r="P60">
        <f t="shared" ref="P60:Q60" si="18">STDEV(P53:P58)</f>
        <v>2.6786536419129824E-3</v>
      </c>
      <c r="Q60">
        <f t="shared" si="18"/>
        <v>6.0716707201012073E-3</v>
      </c>
      <c r="R60">
        <f t="shared" ref="R60:T60" si="19">STDEV(R53:R58)</f>
        <v>1.2583057392117986E-2</v>
      </c>
      <c r="S60">
        <f t="shared" si="19"/>
        <v>1.1599628830268702E-2</v>
      </c>
      <c r="T60">
        <f t="shared" si="19"/>
        <v>4.228491338527326E-3</v>
      </c>
      <c r="V60" t="s">
        <v>93</v>
      </c>
      <c r="W60" s="22" t="s">
        <v>243</v>
      </c>
      <c r="X60" s="22" t="s">
        <v>136</v>
      </c>
      <c r="Y60" s="23" t="s">
        <v>147</v>
      </c>
      <c r="Z60" t="s">
        <v>243</v>
      </c>
      <c r="AA60" s="22" t="s">
        <v>239</v>
      </c>
    </row>
    <row r="61" spans="1:27" x14ac:dyDescent="0.3">
      <c r="W61" s="22"/>
      <c r="X61" s="22"/>
      <c r="Y61" s="23"/>
      <c r="Z61" s="22"/>
    </row>
    <row r="62" spans="1:27" x14ac:dyDescent="0.3">
      <c r="W62" s="22"/>
      <c r="X62" s="22"/>
      <c r="Y62" s="23"/>
      <c r="Z62" s="22"/>
    </row>
    <row r="63" spans="1:27" x14ac:dyDescent="0.3">
      <c r="W63" s="22"/>
      <c r="X63" s="22"/>
      <c r="Y63" s="23"/>
      <c r="Z63" s="22"/>
    </row>
    <row r="64" spans="1:27" x14ac:dyDescent="0.3">
      <c r="W64" s="22"/>
      <c r="X64" s="22"/>
      <c r="Y64" s="23"/>
      <c r="Z64" s="22"/>
    </row>
    <row r="65" spans="1:28" x14ac:dyDescent="0.3">
      <c r="A65" s="14"/>
    </row>
    <row r="66" spans="1:28" x14ac:dyDescent="0.3">
      <c r="C66" t="s">
        <v>180</v>
      </c>
      <c r="D66" t="s">
        <v>181</v>
      </c>
      <c r="G66" t="s">
        <v>191</v>
      </c>
      <c r="I66">
        <v>1.7000000000000001E-2</v>
      </c>
      <c r="O66" t="s">
        <v>190</v>
      </c>
      <c r="P66" t="s">
        <v>235</v>
      </c>
      <c r="Q66" t="s">
        <v>184</v>
      </c>
      <c r="R66" t="s">
        <v>185</v>
      </c>
      <c r="S66" t="s">
        <v>231</v>
      </c>
      <c r="T66" t="s">
        <v>231</v>
      </c>
      <c r="U66" t="s">
        <v>231</v>
      </c>
      <c r="V66" t="s">
        <v>232</v>
      </c>
      <c r="W66" t="s">
        <v>176</v>
      </c>
      <c r="X66" t="s">
        <v>233</v>
      </c>
      <c r="Y66" t="s">
        <v>230</v>
      </c>
      <c r="Z66" s="22" t="s">
        <v>245</v>
      </c>
    </row>
    <row r="67" spans="1:28" x14ac:dyDescent="0.3">
      <c r="A67" t="s">
        <v>177</v>
      </c>
      <c r="B67">
        <v>1.4789583333333332</v>
      </c>
      <c r="C67">
        <f>B67-$B$67</f>
        <v>0</v>
      </c>
      <c r="D67">
        <f>B67-$B$69</f>
        <v>1.5208333333333046E-2</v>
      </c>
      <c r="I67">
        <v>1.462</v>
      </c>
      <c r="P67" t="s">
        <v>210</v>
      </c>
      <c r="Q67">
        <v>1.522</v>
      </c>
      <c r="R67">
        <v>1.4690000000000001</v>
      </c>
      <c r="S67">
        <v>1.5209999999999999</v>
      </c>
      <c r="T67">
        <v>1.5580000000000001</v>
      </c>
      <c r="U67">
        <v>1.5549999999999999</v>
      </c>
      <c r="V67">
        <v>1.486</v>
      </c>
      <c r="W67">
        <v>1.4450000000000001</v>
      </c>
      <c r="X67">
        <v>1.464</v>
      </c>
      <c r="Y67">
        <v>1.4950000000000001</v>
      </c>
      <c r="Z67">
        <v>1.6</v>
      </c>
    </row>
    <row r="68" spans="1:28" x14ac:dyDescent="0.3">
      <c r="A68" t="s">
        <v>168</v>
      </c>
      <c r="B68">
        <v>1.4634166</v>
      </c>
      <c r="C68">
        <f t="shared" ref="C68:C70" si="20">B68-$B$67</f>
        <v>-1.5541733333333196E-2</v>
      </c>
      <c r="D68">
        <f>B68-$B$69</f>
        <v>-3.3340000000015024E-4</v>
      </c>
      <c r="P68" t="s">
        <v>211</v>
      </c>
      <c r="Q68">
        <v>5.7000000000000002E-2</v>
      </c>
      <c r="R68">
        <v>0.02</v>
      </c>
      <c r="S68">
        <v>8.5999999999999993E-2</v>
      </c>
      <c r="T68">
        <v>0.14699999999999999</v>
      </c>
      <c r="U68">
        <v>0.14499999999999999</v>
      </c>
      <c r="V68">
        <v>3.2000000000000001E-2</v>
      </c>
      <c r="W68">
        <v>-3.2000000000000001E-2</v>
      </c>
      <c r="X68">
        <v>5.3999999999999999E-2</v>
      </c>
      <c r="Y68">
        <v>2.5000000000000001E-2</v>
      </c>
      <c r="Z68">
        <v>0.20499999999999999</v>
      </c>
    </row>
    <row r="69" spans="1:28" x14ac:dyDescent="0.3">
      <c r="A69" t="s">
        <v>170</v>
      </c>
      <c r="B69">
        <v>1.4637500000000001</v>
      </c>
      <c r="C69">
        <f t="shared" si="20"/>
        <v>-1.5208333333333046E-2</v>
      </c>
      <c r="D69">
        <f>B69-$B$69</f>
        <v>0</v>
      </c>
      <c r="K69" s="16"/>
      <c r="R69">
        <v>1.472</v>
      </c>
    </row>
    <row r="70" spans="1:28" x14ac:dyDescent="0.3">
      <c r="A70" t="s">
        <v>173</v>
      </c>
      <c r="B70">
        <v>1.4643334000000001</v>
      </c>
      <c r="C70">
        <f t="shared" si="20"/>
        <v>-1.4624933333333034E-2</v>
      </c>
      <c r="D70">
        <f>B70-$B$69</f>
        <v>5.8340000000001169E-4</v>
      </c>
      <c r="K70" s="10"/>
      <c r="L70" s="10"/>
      <c r="M70" s="10"/>
      <c r="N70" s="10"/>
      <c r="O70" s="10"/>
      <c r="R70">
        <v>1.7000000000000001E-2</v>
      </c>
    </row>
    <row r="71" spans="1:28" x14ac:dyDescent="0.3">
      <c r="K71" s="10"/>
      <c r="L71" s="10"/>
      <c r="M71" s="10"/>
      <c r="N71" s="10"/>
      <c r="O71" s="10"/>
      <c r="P71" s="10"/>
      <c r="Q71" s="10"/>
      <c r="R71">
        <v>1.47</v>
      </c>
      <c r="S71" s="10" t="s">
        <v>188</v>
      </c>
      <c r="V71" s="10" t="s">
        <v>189</v>
      </c>
    </row>
    <row r="72" spans="1:28" x14ac:dyDescent="0.3">
      <c r="A72" t="s">
        <v>178</v>
      </c>
      <c r="B72">
        <v>1.6464583333333334</v>
      </c>
      <c r="C72">
        <f>B72-$B$72</f>
        <v>0</v>
      </c>
      <c r="D72">
        <f>B72-$B$74</f>
        <v>8.3541733333333257E-2</v>
      </c>
      <c r="K72" s="10"/>
      <c r="L72" s="10"/>
      <c r="M72" s="10"/>
      <c r="N72" s="10"/>
      <c r="O72" s="10"/>
      <c r="P72" s="10" t="s">
        <v>236</v>
      </c>
      <c r="Q72" s="10"/>
      <c r="R72" s="10">
        <f>R67-$X$67</f>
        <v>5.0000000000001155E-3</v>
      </c>
      <c r="S72" s="10">
        <f t="shared" ref="S72:Y72" si="21">S67-$X$67</f>
        <v>5.699999999999994E-2</v>
      </c>
      <c r="T72" s="10">
        <f t="shared" si="21"/>
        <v>9.4000000000000083E-2</v>
      </c>
      <c r="U72" s="10">
        <f t="shared" si="21"/>
        <v>9.099999999999997E-2</v>
      </c>
      <c r="V72" s="10">
        <f t="shared" si="21"/>
        <v>2.200000000000002E-2</v>
      </c>
      <c r="W72" s="10">
        <f t="shared" si="21"/>
        <v>-1.8999999999999906E-2</v>
      </c>
      <c r="X72" s="10">
        <f t="shared" si="21"/>
        <v>0</v>
      </c>
      <c r="Y72" s="10">
        <f t="shared" si="21"/>
        <v>3.1000000000000139E-2</v>
      </c>
      <c r="Z72" s="10">
        <f t="shared" ref="Z72" si="22">Z67-$X$67</f>
        <v>0.13600000000000012</v>
      </c>
    </row>
    <row r="73" spans="1:28" x14ac:dyDescent="0.3">
      <c r="A73" t="s">
        <v>169</v>
      </c>
      <c r="B73">
        <v>1.4791668000000002</v>
      </c>
      <c r="C73">
        <f t="shared" ref="C73:C75" si="23">B73-$B$72</f>
        <v>-0.16729153333333313</v>
      </c>
      <c r="D73">
        <f>B73-$B$74</f>
        <v>-8.3749799999999874E-2</v>
      </c>
      <c r="K73" s="10"/>
      <c r="L73" s="10"/>
      <c r="M73" s="10"/>
      <c r="N73" s="10"/>
      <c r="O73" s="10"/>
      <c r="P73" s="10"/>
      <c r="Q73" s="10"/>
      <c r="R73" s="10">
        <f>R72-R68</f>
        <v>-1.4999999999999885E-2</v>
      </c>
      <c r="S73" s="10">
        <f t="shared" ref="S73:Z73" si="24">S72-S68</f>
        <v>-2.9000000000000054E-2</v>
      </c>
      <c r="T73" s="10">
        <f t="shared" si="24"/>
        <v>-5.2999999999999908E-2</v>
      </c>
      <c r="U73" s="10">
        <f t="shared" si="24"/>
        <v>-5.400000000000002E-2</v>
      </c>
      <c r="V73" s="10">
        <f t="shared" si="24"/>
        <v>-9.9999999999999811E-3</v>
      </c>
      <c r="W73" s="10">
        <f t="shared" si="24"/>
        <v>1.3000000000000095E-2</v>
      </c>
      <c r="X73" s="10">
        <f t="shared" si="24"/>
        <v>-5.3999999999999999E-2</v>
      </c>
      <c r="Y73" s="10">
        <f t="shared" si="24"/>
        <v>6.0000000000001372E-3</v>
      </c>
      <c r="Z73" s="10">
        <f t="shared" si="24"/>
        <v>-6.8999999999999867E-2</v>
      </c>
    </row>
    <row r="74" spans="1:28" x14ac:dyDescent="0.3">
      <c r="A74" t="s">
        <v>171</v>
      </c>
      <c r="B74">
        <v>1.5629166000000001</v>
      </c>
      <c r="C74">
        <f t="shared" si="23"/>
        <v>-8.3541733333333257E-2</v>
      </c>
      <c r="D74">
        <f>B74-$B$74</f>
        <v>0</v>
      </c>
      <c r="K74" s="10"/>
      <c r="L74" s="10"/>
      <c r="M74" s="10"/>
      <c r="N74" s="10"/>
      <c r="O74" s="10"/>
      <c r="P74" s="10"/>
      <c r="Q74" s="10"/>
      <c r="R74" s="10">
        <v>-8.0833000000000002E-2</v>
      </c>
      <c r="S74" s="10">
        <v>-8.0833000000000002E-2</v>
      </c>
      <c r="T74" s="10">
        <v>-8.0833000000000002E-2</v>
      </c>
      <c r="U74" s="10">
        <f>-0.039167</f>
        <v>-3.9167E-2</v>
      </c>
      <c r="V74" s="10">
        <v>1.5833E-2</v>
      </c>
      <c r="W74" s="10">
        <v>-8.6249999999999993E-2</v>
      </c>
    </row>
    <row r="75" spans="1:28" x14ac:dyDescent="0.3">
      <c r="A75" t="s">
        <v>174</v>
      </c>
      <c r="B75">
        <v>1.5690832000000001</v>
      </c>
      <c r="C75">
        <f t="shared" si="23"/>
        <v>-7.7375133333333235E-2</v>
      </c>
      <c r="D75">
        <f>B75-$B$74</f>
        <v>6.1666000000000221E-3</v>
      </c>
      <c r="K75" s="10"/>
      <c r="Q75" s="10"/>
      <c r="R75" s="10"/>
      <c r="S75" s="10"/>
      <c r="T75" s="10"/>
      <c r="U75" s="10"/>
      <c r="V75" s="10"/>
      <c r="W75" s="10"/>
      <c r="X75" s="10"/>
      <c r="Y75" s="10"/>
    </row>
    <row r="76" spans="1:28" x14ac:dyDescent="0.3">
      <c r="K76" s="10"/>
      <c r="S76" s="10"/>
      <c r="T76" s="10"/>
      <c r="U76">
        <v>0</v>
      </c>
      <c r="V76">
        <v>85</v>
      </c>
      <c r="W76">
        <v>183</v>
      </c>
    </row>
    <row r="77" spans="1:28" x14ac:dyDescent="0.3">
      <c r="A77" t="s">
        <v>192</v>
      </c>
      <c r="B77">
        <v>1.5930833999999998</v>
      </c>
      <c r="C77">
        <f>B77-$B$77</f>
        <v>0</v>
      </c>
      <c r="D77">
        <f>B77-$B$79</f>
        <v>0.10383339999999985</v>
      </c>
      <c r="K77" s="10"/>
      <c r="T77" s="21" t="s">
        <v>218</v>
      </c>
      <c r="U77" s="4">
        <v>27</v>
      </c>
      <c r="V77" s="4">
        <v>110</v>
      </c>
      <c r="W77" s="4">
        <v>210</v>
      </c>
    </row>
    <row r="78" spans="1:28" x14ac:dyDescent="0.3">
      <c r="A78" s="16" t="s">
        <v>172</v>
      </c>
      <c r="B78">
        <v>1.4533336000000001</v>
      </c>
      <c r="C78">
        <f t="shared" ref="C78:C80" si="25">B78-$B$77</f>
        <v>-0.1397497999999997</v>
      </c>
      <c r="D78">
        <f>B78-$B$79</f>
        <v>-3.5916399999999848E-2</v>
      </c>
      <c r="K78" s="10"/>
      <c r="S78">
        <v>25</v>
      </c>
      <c r="T78" s="4">
        <v>0</v>
      </c>
      <c r="U78" s="10">
        <f>Z72</f>
        <v>0.13600000000000012</v>
      </c>
      <c r="Y78" s="4">
        <v>205</v>
      </c>
      <c r="Z78" s="13">
        <v>2.200000000000002E-2</v>
      </c>
      <c r="AA78" s="13"/>
      <c r="AB78" s="13">
        <v>-1.8999999999999906E-2</v>
      </c>
    </row>
    <row r="79" spans="1:28" x14ac:dyDescent="0.3">
      <c r="A79" t="s">
        <v>176</v>
      </c>
      <c r="B79">
        <v>1.48925</v>
      </c>
      <c r="C79">
        <f t="shared" si="25"/>
        <v>-0.10383339999999985</v>
      </c>
      <c r="D79">
        <f>B79-$B$79</f>
        <v>0</v>
      </c>
      <c r="K79" s="10"/>
      <c r="S79">
        <v>32</v>
      </c>
      <c r="T79" s="5">
        <v>5</v>
      </c>
      <c r="U79" s="10">
        <f>AVERAGE(S72:U72)</f>
        <v>8.0666666666666664E-2</v>
      </c>
      <c r="W79" s="10">
        <f>R72</f>
        <v>5.0000000000001155E-3</v>
      </c>
      <c r="Y79" s="4">
        <v>110</v>
      </c>
      <c r="Z79" s="13"/>
      <c r="AA79" s="13">
        <v>0</v>
      </c>
      <c r="AB79" s="13"/>
    </row>
    <row r="80" spans="1:28" x14ac:dyDescent="0.3">
      <c r="A80" t="s">
        <v>175</v>
      </c>
      <c r="B80">
        <v>1.5125833999999998</v>
      </c>
      <c r="C80">
        <f t="shared" si="25"/>
        <v>-8.0500000000000016E-2</v>
      </c>
      <c r="D80">
        <f>B80-$B$79</f>
        <v>2.3333399999999838E-2</v>
      </c>
      <c r="G80" s="30" t="s">
        <v>209</v>
      </c>
      <c r="H80" s="30"/>
      <c r="I80" s="30"/>
      <c r="K80" s="16"/>
      <c r="P80" s="10"/>
      <c r="R80" s="10"/>
      <c r="S80">
        <v>119</v>
      </c>
      <c r="T80" s="5">
        <v>99</v>
      </c>
      <c r="W80" s="10">
        <f>Y72</f>
        <v>3.1000000000000139E-2</v>
      </c>
      <c r="Y80" s="4">
        <v>99</v>
      </c>
      <c r="Z80" s="13"/>
      <c r="AA80" s="13"/>
      <c r="AB80" s="13">
        <v>3.1000000000000139E-2</v>
      </c>
    </row>
    <row r="81" spans="1:28" x14ac:dyDescent="0.3">
      <c r="A81" s="14"/>
      <c r="G81" s="13">
        <v>-0.11097233333333345</v>
      </c>
      <c r="H81" s="13"/>
      <c r="I81" s="13">
        <v>-0.10383339999999985</v>
      </c>
      <c r="K81" s="10"/>
      <c r="L81" s="10"/>
      <c r="M81" s="10"/>
      <c r="N81" s="10"/>
      <c r="O81" s="10"/>
      <c r="P81" s="10"/>
      <c r="R81" s="10"/>
      <c r="S81">
        <v>135</v>
      </c>
      <c r="T81" s="5">
        <v>110</v>
      </c>
      <c r="V81" s="10">
        <f>X72</f>
        <v>0</v>
      </c>
      <c r="Y81" s="4">
        <v>5</v>
      </c>
      <c r="Z81" s="13">
        <v>8.0666666666666664E-2</v>
      </c>
      <c r="AA81" s="13"/>
      <c r="AB81" s="13">
        <v>5.0000000000001155E-3</v>
      </c>
    </row>
    <row r="82" spans="1:28" x14ac:dyDescent="0.3">
      <c r="A82" t="s">
        <v>182</v>
      </c>
      <c r="B82">
        <v>1.5877780000000001</v>
      </c>
      <c r="G82" s="13"/>
      <c r="H82" s="13">
        <v>-1.5208333333333046E-2</v>
      </c>
      <c r="I82" s="13"/>
      <c r="K82" s="10"/>
      <c r="L82" s="10"/>
      <c r="M82" s="10"/>
      <c r="N82" s="10"/>
      <c r="O82" s="10"/>
      <c r="R82" s="10"/>
      <c r="S82">
        <v>225</v>
      </c>
      <c r="T82" s="5">
        <v>205</v>
      </c>
      <c r="U82" s="10">
        <f>V72</f>
        <v>2.200000000000002E-2</v>
      </c>
      <c r="W82" s="10">
        <f>W72</f>
        <v>-1.8999999999999906E-2</v>
      </c>
      <c r="Y82" s="4">
        <v>0</v>
      </c>
      <c r="Z82" s="13">
        <v>0.13600000000000012</v>
      </c>
      <c r="AA82" s="13"/>
      <c r="AB82" s="13"/>
    </row>
    <row r="83" spans="1:28" x14ac:dyDescent="0.3">
      <c r="A83" t="s">
        <v>185</v>
      </c>
      <c r="B83">
        <v>1.3758336666666668</v>
      </c>
      <c r="C83">
        <f>B83-B82</f>
        <v>-0.21194433333333329</v>
      </c>
      <c r="G83" s="13">
        <v>-0.16652766666666663</v>
      </c>
      <c r="H83" s="13"/>
      <c r="I83" s="13">
        <v>-0.21194433333333329</v>
      </c>
      <c r="K83" s="10"/>
      <c r="L83" s="10"/>
      <c r="M83" s="10"/>
      <c r="N83" s="10"/>
      <c r="O83" s="10"/>
      <c r="Q83" s="10"/>
      <c r="R83" s="10"/>
      <c r="S83" s="10"/>
      <c r="Y83" s="21" t="s">
        <v>226</v>
      </c>
      <c r="Z83" s="4">
        <v>27</v>
      </c>
      <c r="AA83" s="4">
        <v>110</v>
      </c>
      <c r="AB83" s="4">
        <v>210</v>
      </c>
    </row>
    <row r="84" spans="1:28" x14ac:dyDescent="0.3">
      <c r="K84" s="10"/>
      <c r="L84" s="10"/>
      <c r="M84" s="10"/>
      <c r="N84" s="10"/>
      <c r="O84" s="10"/>
      <c r="Q84" s="10"/>
      <c r="R84" s="10"/>
      <c r="S84" s="10"/>
    </row>
    <row r="85" spans="1:28" x14ac:dyDescent="0.3">
      <c r="A85" t="s">
        <v>184</v>
      </c>
      <c r="B85">
        <v>1.5672223333333335</v>
      </c>
      <c r="K85" s="10"/>
      <c r="L85" s="10"/>
      <c r="M85" s="10"/>
      <c r="N85" s="10"/>
      <c r="O85" s="10"/>
      <c r="P85" s="10"/>
      <c r="Q85" s="10"/>
      <c r="R85" s="10"/>
      <c r="S85" s="10"/>
    </row>
    <row r="86" spans="1:28" x14ac:dyDescent="0.3">
      <c r="A86" t="s">
        <v>187</v>
      </c>
      <c r="B86">
        <v>1.45625</v>
      </c>
      <c r="C86">
        <f>B86-B85</f>
        <v>-0.11097233333333345</v>
      </c>
      <c r="F86" t="s">
        <v>204</v>
      </c>
      <c r="H86" t="s">
        <v>203</v>
      </c>
      <c r="I86" t="s">
        <v>202</v>
      </c>
      <c r="J86" t="s">
        <v>201</v>
      </c>
      <c r="K86" s="10" t="s">
        <v>200</v>
      </c>
      <c r="L86" s="10"/>
      <c r="M86" s="10"/>
      <c r="N86" s="10"/>
      <c r="O86" s="10"/>
      <c r="P86" s="10"/>
      <c r="Q86" s="10"/>
      <c r="R86" s="10"/>
      <c r="S86" s="10"/>
      <c r="T86" s="10"/>
    </row>
    <row r="87" spans="1:28" x14ac:dyDescent="0.3">
      <c r="F87" t="s">
        <v>136</v>
      </c>
      <c r="G87" t="s">
        <v>199</v>
      </c>
      <c r="H87" t="s">
        <v>147</v>
      </c>
      <c r="I87" t="s">
        <v>195</v>
      </c>
      <c r="J87" s="10" t="s">
        <v>196</v>
      </c>
      <c r="K87" s="10" t="s">
        <v>194</v>
      </c>
      <c r="M87" s="10"/>
      <c r="N87" s="10"/>
      <c r="O87" s="10"/>
      <c r="P87" s="10"/>
      <c r="Q87" s="10"/>
      <c r="R87" s="10"/>
      <c r="S87" s="10"/>
      <c r="T87" s="10">
        <f>119-25</f>
        <v>94</v>
      </c>
    </row>
    <row r="88" spans="1:28" x14ac:dyDescent="0.3">
      <c r="A88" t="s">
        <v>183</v>
      </c>
      <c r="B88">
        <v>1.6365276666666666</v>
      </c>
      <c r="E88" s="10"/>
      <c r="F88" s="10" t="s">
        <v>170</v>
      </c>
      <c r="G88" s="10" t="s">
        <v>171</v>
      </c>
      <c r="H88" s="10" t="s">
        <v>176</v>
      </c>
      <c r="I88" s="10" t="s">
        <v>185</v>
      </c>
      <c r="J88" s="10" t="s">
        <v>186</v>
      </c>
      <c r="K88" s="10" t="s">
        <v>198</v>
      </c>
      <c r="M88" s="10"/>
      <c r="N88" s="10"/>
      <c r="O88" s="10"/>
      <c r="P88" s="10"/>
      <c r="Q88" s="10"/>
      <c r="R88" s="10"/>
      <c r="S88" s="10"/>
      <c r="T88" s="10"/>
    </row>
    <row r="89" spans="1:28" x14ac:dyDescent="0.3">
      <c r="A89" t="s">
        <v>186</v>
      </c>
      <c r="B89">
        <v>1.47</v>
      </c>
      <c r="C89">
        <f>B89-B88</f>
        <v>-0.16652766666666663</v>
      </c>
      <c r="E89" s="10"/>
      <c r="F89" s="10">
        <v>1.4637500000000001</v>
      </c>
      <c r="G89" s="10">
        <v>1.5629166000000001</v>
      </c>
      <c r="H89" s="10">
        <v>1.48925</v>
      </c>
      <c r="I89" s="10">
        <v>1.3758336666666668</v>
      </c>
      <c r="J89" s="10">
        <v>1.47</v>
      </c>
      <c r="K89" s="10">
        <v>1.45625</v>
      </c>
      <c r="M89" s="10"/>
      <c r="N89" s="10"/>
      <c r="O89" s="10"/>
      <c r="P89" s="10"/>
      <c r="Q89" s="10"/>
      <c r="R89" s="10"/>
      <c r="S89" s="10"/>
      <c r="T89" s="10"/>
    </row>
    <row r="90" spans="1:28" x14ac:dyDescent="0.3">
      <c r="E90" s="10" t="s">
        <v>193</v>
      </c>
      <c r="F90" s="10">
        <f t="shared" ref="F90:K90" si="26">F89-$F$89</f>
        <v>0</v>
      </c>
      <c r="G90" s="10">
        <f t="shared" si="26"/>
        <v>9.9166599999999994E-2</v>
      </c>
      <c r="H90" s="10">
        <f t="shared" si="26"/>
        <v>2.5499999999999856E-2</v>
      </c>
      <c r="I90" s="10">
        <f t="shared" si="26"/>
        <v>-8.7916333333333263E-2</v>
      </c>
      <c r="J90" s="10">
        <f t="shared" si="26"/>
        <v>6.2499999999998668E-3</v>
      </c>
      <c r="K90" s="10">
        <f t="shared" si="26"/>
        <v>-7.5000000000000622E-3</v>
      </c>
      <c r="M90" s="10"/>
      <c r="N90" s="10"/>
      <c r="O90" s="10"/>
      <c r="P90" s="10"/>
      <c r="Q90" s="10"/>
      <c r="R90" s="10"/>
      <c r="S90" s="10"/>
      <c r="T90" s="10"/>
    </row>
    <row r="91" spans="1:28" x14ac:dyDescent="0.3">
      <c r="H91">
        <v>-0.17537700000000001</v>
      </c>
      <c r="I91">
        <v>-0.13081100000000001</v>
      </c>
      <c r="J91">
        <v>2.9475999999999995E-2</v>
      </c>
      <c r="K91">
        <v>-8.2589999999999997E-2</v>
      </c>
      <c r="N91" s="10"/>
      <c r="O91" s="10"/>
      <c r="P91" s="10"/>
      <c r="Q91" s="10"/>
      <c r="R91" s="10"/>
      <c r="S91" s="10"/>
      <c r="T91" s="10"/>
      <c r="U91" s="10"/>
      <c r="V91" s="10"/>
    </row>
    <row r="92" spans="1:28" x14ac:dyDescent="0.3">
      <c r="E92" t="s">
        <v>206</v>
      </c>
      <c r="F92">
        <f>F89-1.5</f>
        <v>-3.6249999999999893E-2</v>
      </c>
      <c r="G92">
        <f t="shared" ref="G92:K92" si="27">G89-1.5</f>
        <v>6.29166000000001E-2</v>
      </c>
      <c r="H92">
        <f t="shared" si="27"/>
        <v>-1.0750000000000037E-2</v>
      </c>
      <c r="I92">
        <f t="shared" si="27"/>
        <v>-0.12416633333333316</v>
      </c>
      <c r="J92">
        <f t="shared" si="27"/>
        <v>-3.0000000000000027E-2</v>
      </c>
      <c r="K92">
        <f t="shared" si="27"/>
        <v>-4.3749999999999956E-2</v>
      </c>
      <c r="N92" s="10"/>
      <c r="O92" s="10"/>
      <c r="P92" s="10"/>
      <c r="Q92" s="10"/>
      <c r="R92" s="10"/>
      <c r="S92" s="10"/>
      <c r="T92" s="10"/>
      <c r="U92" s="10"/>
      <c r="V92" s="10"/>
    </row>
    <row r="93" spans="1:28" x14ac:dyDescent="0.3">
      <c r="N93" s="10"/>
      <c r="O93" s="10"/>
      <c r="P93" s="10"/>
      <c r="Q93" s="10"/>
      <c r="R93" s="10"/>
      <c r="S93" s="10"/>
      <c r="T93" s="10"/>
      <c r="U93" s="10"/>
      <c r="V93" s="10"/>
    </row>
    <row r="94" spans="1:28" x14ac:dyDescent="0.3">
      <c r="N94" s="10"/>
      <c r="O94" s="10"/>
      <c r="P94" s="10"/>
      <c r="Q94" s="10"/>
      <c r="R94" s="10"/>
      <c r="S94" s="10"/>
      <c r="T94" s="10"/>
      <c r="U94" s="10"/>
      <c r="V94" s="10"/>
    </row>
    <row r="95" spans="1:28" x14ac:dyDescent="0.3">
      <c r="N95" s="10"/>
      <c r="O95" s="10"/>
      <c r="P95" s="10"/>
      <c r="Q95" s="10"/>
      <c r="R95" s="10"/>
      <c r="S95" s="10"/>
      <c r="T95" s="10"/>
      <c r="U95" s="10"/>
      <c r="V95" s="10"/>
    </row>
    <row r="96" spans="1:28" x14ac:dyDescent="0.3">
      <c r="A96" s="4" t="s">
        <v>215</v>
      </c>
      <c r="B96" s="4"/>
      <c r="C96" s="4"/>
      <c r="D96" s="4"/>
      <c r="E96" s="4"/>
      <c r="F96" s="4"/>
      <c r="G96" s="4"/>
      <c r="H96" s="4"/>
      <c r="I96" s="4"/>
      <c r="J96" s="4"/>
      <c r="K96" s="4"/>
      <c r="L96" s="4"/>
      <c r="M96" s="4"/>
      <c r="N96" s="10"/>
      <c r="O96" s="10"/>
      <c r="P96" s="10"/>
      <c r="Q96" s="10"/>
      <c r="R96" s="10"/>
      <c r="S96" s="10"/>
      <c r="T96" s="10"/>
      <c r="U96" s="10"/>
      <c r="V96" s="10"/>
    </row>
    <row r="97" spans="1:22" x14ac:dyDescent="0.3">
      <c r="A97" s="4"/>
      <c r="B97" s="4" t="s">
        <v>103</v>
      </c>
      <c r="C97" s="4">
        <v>0</v>
      </c>
      <c r="D97" s="4">
        <v>20.332999999999998</v>
      </c>
      <c r="E97" s="4">
        <v>40.665999999999997</v>
      </c>
      <c r="F97" s="4">
        <v>60.998999999999995</v>
      </c>
      <c r="G97" s="4">
        <v>81.331999999999994</v>
      </c>
      <c r="H97" s="4">
        <v>101.66499999999999</v>
      </c>
      <c r="I97" s="4">
        <v>121.99799999999999</v>
      </c>
      <c r="J97" s="4">
        <v>142.33099999999999</v>
      </c>
      <c r="K97" s="4">
        <v>162.66399999999999</v>
      </c>
      <c r="L97" s="4">
        <v>182.99699999999999</v>
      </c>
      <c r="M97" s="4"/>
      <c r="N97" s="10"/>
      <c r="O97" s="10"/>
      <c r="P97" s="10"/>
      <c r="Q97" s="10"/>
      <c r="R97" s="10"/>
      <c r="S97" s="10"/>
      <c r="T97" s="10"/>
      <c r="U97" s="10"/>
      <c r="V97" s="10"/>
    </row>
    <row r="98" spans="1:22" x14ac:dyDescent="0.3">
      <c r="A98" s="4" t="s">
        <v>102</v>
      </c>
      <c r="B98" s="4"/>
      <c r="C98" s="4">
        <v>27</v>
      </c>
      <c r="D98" s="4">
        <v>47.332999999999998</v>
      </c>
      <c r="E98" s="4">
        <v>67.665999999999997</v>
      </c>
      <c r="F98" s="4">
        <v>87.998999999999995</v>
      </c>
      <c r="G98" s="4">
        <v>108.33199999999999</v>
      </c>
      <c r="H98" s="4">
        <v>128.66499999999999</v>
      </c>
      <c r="I98" s="4">
        <v>148.99799999999999</v>
      </c>
      <c r="J98" s="4">
        <v>169.33099999999999</v>
      </c>
      <c r="K98" s="4">
        <v>189.66399999999999</v>
      </c>
      <c r="L98" s="4">
        <v>209.99699999999999</v>
      </c>
      <c r="M98" s="4"/>
      <c r="N98" s="10"/>
      <c r="O98" s="10"/>
      <c r="P98" s="10"/>
      <c r="Q98" s="10"/>
      <c r="R98" s="10"/>
      <c r="S98" s="10"/>
      <c r="T98" s="10"/>
      <c r="U98" s="10"/>
      <c r="V98" s="10"/>
    </row>
    <row r="99" spans="1:22" x14ac:dyDescent="0.3">
      <c r="A99" s="4">
        <v>32</v>
      </c>
      <c r="B99" s="4">
        <v>12</v>
      </c>
      <c r="C99" s="10">
        <v>0.14583299999999999</v>
      </c>
      <c r="D99" s="10">
        <v>9.1249999999999998E-2</v>
      </c>
      <c r="E99" s="10">
        <v>6.6670000000000002E-3</v>
      </c>
      <c r="F99" s="10">
        <v>-3.7499999999999999E-3</v>
      </c>
      <c r="G99" s="10">
        <v>-4.0417000000000002E-2</v>
      </c>
      <c r="H99" s="10">
        <v>-1.9583E-2</v>
      </c>
      <c r="I99" s="10">
        <v>-1.2917E-2</v>
      </c>
      <c r="J99" s="10">
        <v>2.5000000000000001E-2</v>
      </c>
      <c r="K99" s="10">
        <v>4.8333000000000001E-2</v>
      </c>
      <c r="L99" s="10">
        <v>8.6666999999999994E-2</v>
      </c>
      <c r="N99" s="10"/>
      <c r="O99" s="10"/>
      <c r="P99" s="10"/>
      <c r="Q99" s="10"/>
      <c r="R99" s="10"/>
      <c r="S99" s="10"/>
      <c r="T99" s="10"/>
      <c r="U99" s="10"/>
      <c r="V99" s="10"/>
    </row>
    <row r="100" spans="1:22" x14ac:dyDescent="0.3">
      <c r="A100" s="4">
        <v>53.444000000000003</v>
      </c>
      <c r="B100" s="4">
        <v>33.444000000000003</v>
      </c>
      <c r="C100" s="10">
        <v>0.09</v>
      </c>
      <c r="D100" s="10">
        <v>5.5E-2</v>
      </c>
      <c r="E100" s="10">
        <v>-1.7083000000000001E-2</v>
      </c>
      <c r="F100" s="10">
        <v>-1.8332999999999999E-2</v>
      </c>
      <c r="G100" s="10">
        <v>-4.1667000000000003E-2</v>
      </c>
      <c r="H100" s="10">
        <v>-2.1666999999999999E-2</v>
      </c>
      <c r="I100" s="10">
        <v>-1.7916999999999999E-2</v>
      </c>
      <c r="J100" s="10">
        <v>1.375E-2</v>
      </c>
      <c r="K100" s="10">
        <v>2.5416999999999999E-2</v>
      </c>
      <c r="L100" s="10">
        <v>4.8750000000000002E-2</v>
      </c>
      <c r="N100" s="10"/>
      <c r="O100" s="10"/>
      <c r="P100" s="10"/>
      <c r="Q100" s="10"/>
      <c r="R100" s="10"/>
      <c r="S100" s="10"/>
      <c r="T100" s="10"/>
      <c r="U100" s="10"/>
      <c r="V100" s="10"/>
    </row>
    <row r="101" spans="1:22" x14ac:dyDescent="0.3">
      <c r="A101" s="4">
        <v>74.888000000000005</v>
      </c>
      <c r="B101" s="4">
        <v>54.888000000000005</v>
      </c>
      <c r="C101" s="10">
        <v>9.7917000000000004E-2</v>
      </c>
      <c r="D101" s="10">
        <v>7.8750000000000001E-2</v>
      </c>
      <c r="E101" s="10">
        <v>8.7500000000000008E-3</v>
      </c>
      <c r="F101" s="10">
        <v>-2.5000000000000001E-3</v>
      </c>
      <c r="G101" s="10">
        <v>-3.6249999999999998E-2</v>
      </c>
      <c r="H101" s="10">
        <v>-1.9583E-2</v>
      </c>
      <c r="I101" s="10">
        <v>-2.0417000000000001E-2</v>
      </c>
      <c r="J101" s="10">
        <v>1.6670000000000001E-3</v>
      </c>
      <c r="K101" s="10">
        <v>8.7500000000000008E-3</v>
      </c>
      <c r="L101" s="10">
        <v>2.8750000000000001E-2</v>
      </c>
      <c r="N101" s="10"/>
      <c r="O101" s="10"/>
      <c r="P101" s="10"/>
      <c r="Q101" s="10"/>
      <c r="R101" s="10"/>
      <c r="S101" s="10"/>
      <c r="T101" s="10"/>
      <c r="U101" s="10"/>
      <c r="V101" s="10"/>
    </row>
    <row r="102" spans="1:22" x14ac:dyDescent="0.3">
      <c r="A102" s="4">
        <v>96.332000000000008</v>
      </c>
      <c r="B102" s="4">
        <v>76.332000000000008</v>
      </c>
      <c r="C102" s="10">
        <v>8.0417000000000002E-2</v>
      </c>
      <c r="D102" s="10">
        <v>5.3749999999999999E-2</v>
      </c>
      <c r="E102" s="10">
        <v>5.8329999999999996E-3</v>
      </c>
      <c r="F102" s="10">
        <v>4.1669999999999997E-3</v>
      </c>
      <c r="G102" s="10">
        <v>-2.8333000000000001E-2</v>
      </c>
      <c r="H102" s="10">
        <v>-1.6667000000000001E-2</v>
      </c>
      <c r="I102" s="10">
        <v>-2.375E-2</v>
      </c>
      <c r="J102" s="10">
        <v>-8.3299999999999997E-4</v>
      </c>
      <c r="K102" s="10">
        <v>-2.9169999999999999E-3</v>
      </c>
      <c r="L102" s="10">
        <v>3.9583E-2</v>
      </c>
      <c r="N102" s="10"/>
      <c r="O102" s="10"/>
      <c r="P102" s="10"/>
      <c r="Q102" s="10"/>
      <c r="R102" s="10"/>
      <c r="S102" s="10"/>
      <c r="T102" s="10"/>
      <c r="U102" s="10"/>
      <c r="V102" s="10"/>
    </row>
    <row r="103" spans="1:22" x14ac:dyDescent="0.3">
      <c r="A103" s="4">
        <v>117.77600000000001</v>
      </c>
      <c r="B103" s="4">
        <v>97.77600000000001</v>
      </c>
      <c r="C103" s="10">
        <v>7.6666999999999999E-2</v>
      </c>
      <c r="D103" s="10">
        <v>5.9582999999999997E-2</v>
      </c>
      <c r="E103" s="10">
        <v>1.2917E-2</v>
      </c>
      <c r="F103" s="10">
        <v>9.5829999999999995E-3</v>
      </c>
      <c r="G103" s="10">
        <v>-3.2917000000000002E-2</v>
      </c>
      <c r="H103" s="10">
        <v>-2.6249999999999999E-2</v>
      </c>
      <c r="I103" s="10">
        <v>-3.4583000000000003E-2</v>
      </c>
      <c r="J103" s="10">
        <v>-1.6250000000000001E-2</v>
      </c>
      <c r="K103" s="10">
        <v>-2.0417000000000001E-2</v>
      </c>
      <c r="L103" s="10">
        <v>1.6667000000000001E-2</v>
      </c>
      <c r="N103" s="10"/>
      <c r="O103" s="10"/>
      <c r="P103" s="10"/>
      <c r="Q103" s="10"/>
      <c r="R103" s="10"/>
      <c r="S103" s="10"/>
      <c r="T103" s="10"/>
      <c r="U103" s="10"/>
      <c r="V103" s="10"/>
    </row>
    <row r="104" spans="1:22" x14ac:dyDescent="0.3">
      <c r="A104" s="4">
        <v>139.22</v>
      </c>
      <c r="B104" s="4">
        <v>119.22000000000001</v>
      </c>
      <c r="C104" s="10">
        <v>0.08</v>
      </c>
      <c r="D104" s="10">
        <v>5.6250000000000001E-2</v>
      </c>
      <c r="E104" s="10">
        <v>1.0833000000000001E-2</v>
      </c>
      <c r="F104" s="10">
        <v>5.8329999999999996E-3</v>
      </c>
      <c r="G104" s="10">
        <v>-5.1249999999999997E-2</v>
      </c>
      <c r="H104" s="10">
        <v>-3.8332999999999999E-2</v>
      </c>
      <c r="I104" s="10">
        <v>-4.0833000000000001E-2</v>
      </c>
      <c r="J104" s="10">
        <v>-2.1666999999999999E-2</v>
      </c>
      <c r="K104" s="10">
        <v>-2.5000000000000001E-2</v>
      </c>
      <c r="L104" s="10">
        <v>1.125E-2</v>
      </c>
      <c r="N104" s="10"/>
      <c r="O104" s="10"/>
      <c r="P104" s="10"/>
      <c r="Q104" s="10"/>
      <c r="R104" s="10"/>
      <c r="S104" s="10"/>
      <c r="T104" s="10"/>
      <c r="U104" s="10"/>
      <c r="V104" s="10"/>
    </row>
    <row r="105" spans="1:22" x14ac:dyDescent="0.3">
      <c r="A105" s="4">
        <v>160.66399999999999</v>
      </c>
      <c r="B105" s="4">
        <v>140.66400000000002</v>
      </c>
      <c r="C105" s="10">
        <v>7.9167000000000001E-2</v>
      </c>
      <c r="D105" s="10">
        <v>6.3333E-2</v>
      </c>
      <c r="E105" s="10">
        <v>1.4167000000000001E-2</v>
      </c>
      <c r="F105" s="10">
        <v>1.6250000000000001E-2</v>
      </c>
      <c r="G105" s="10">
        <v>-2.6667E-2</v>
      </c>
      <c r="H105" s="10">
        <v>-1.9167E-2</v>
      </c>
      <c r="I105" s="10">
        <v>-3.2917000000000002E-2</v>
      </c>
      <c r="J105" s="10">
        <v>-2.4583000000000001E-2</v>
      </c>
      <c r="K105" s="10">
        <v>-2.2082999999999998E-2</v>
      </c>
      <c r="L105" s="10">
        <v>1.4583E-2</v>
      </c>
      <c r="N105" s="10"/>
      <c r="O105" s="10"/>
      <c r="P105" s="10"/>
      <c r="Q105" s="10"/>
      <c r="R105" s="10"/>
      <c r="S105" s="10"/>
      <c r="T105" s="10"/>
      <c r="U105" s="10"/>
      <c r="V105" s="10"/>
    </row>
    <row r="106" spans="1:22" x14ac:dyDescent="0.3">
      <c r="A106" s="4">
        <v>182.10799999999998</v>
      </c>
      <c r="B106" s="4">
        <v>162.108</v>
      </c>
      <c r="C106" s="10">
        <v>8.3333000000000004E-2</v>
      </c>
      <c r="D106" s="10">
        <v>5.6250000000000001E-2</v>
      </c>
      <c r="E106" s="10">
        <v>1.0833000000000001E-2</v>
      </c>
      <c r="F106" s="10">
        <v>1.8749999999999999E-2</v>
      </c>
      <c r="G106" s="10">
        <v>-1.5833E-2</v>
      </c>
      <c r="H106" s="10">
        <v>-1.0833000000000001E-2</v>
      </c>
      <c r="I106" s="10">
        <v>-2.9166999999999998E-2</v>
      </c>
      <c r="J106" s="10">
        <v>-9.1669999999999998E-3</v>
      </c>
      <c r="K106" s="10">
        <v>-9.5829999999999995E-3</v>
      </c>
      <c r="L106" s="10">
        <v>2.2082999999999998E-2</v>
      </c>
      <c r="N106" s="10"/>
      <c r="O106" s="10"/>
      <c r="P106" s="10"/>
      <c r="Q106" s="10"/>
      <c r="R106" s="10"/>
      <c r="S106" s="10"/>
      <c r="T106" s="10"/>
      <c r="U106" s="10"/>
      <c r="V106" s="10"/>
    </row>
    <row r="107" spans="1:22" x14ac:dyDescent="0.3">
      <c r="A107" s="4">
        <v>203.55199999999996</v>
      </c>
      <c r="B107" s="4">
        <v>183.55199999999999</v>
      </c>
      <c r="C107" s="10">
        <v>6.7500000000000004E-2</v>
      </c>
      <c r="D107" s="10">
        <v>4.6249999999999999E-2</v>
      </c>
      <c r="E107" s="10">
        <v>5.0000000000000001E-3</v>
      </c>
      <c r="F107" s="10">
        <v>1.7500000000000002E-2</v>
      </c>
      <c r="G107" s="10">
        <v>-1.375E-2</v>
      </c>
      <c r="H107" s="10">
        <v>-8.7500000000000008E-3</v>
      </c>
      <c r="I107" s="10">
        <v>-1.7083000000000001E-2</v>
      </c>
      <c r="J107" s="10">
        <v>-3.7499999999999999E-3</v>
      </c>
      <c r="K107" s="10">
        <v>-7.0829999999999999E-3</v>
      </c>
      <c r="L107" s="10">
        <v>3.9167E-2</v>
      </c>
      <c r="N107" s="10"/>
      <c r="O107" s="10"/>
      <c r="P107" s="10"/>
      <c r="Q107" s="10"/>
      <c r="R107" s="10"/>
      <c r="S107" s="10"/>
      <c r="T107" s="10"/>
      <c r="U107" s="10"/>
      <c r="V107" s="10"/>
    </row>
    <row r="108" spans="1:22" x14ac:dyDescent="0.3">
      <c r="A108" s="4">
        <v>224.99599999999995</v>
      </c>
      <c r="B108" s="4">
        <v>204.99599999999998</v>
      </c>
      <c r="C108" s="10">
        <v>9.2499999999999999E-2</v>
      </c>
      <c r="D108" s="10">
        <v>6.5000000000000002E-2</v>
      </c>
      <c r="E108" s="10">
        <v>3.1667000000000001E-2</v>
      </c>
      <c r="F108" s="10">
        <v>4.7917000000000001E-2</v>
      </c>
      <c r="G108" s="10">
        <v>-7.9170000000000004E-3</v>
      </c>
      <c r="H108" s="10">
        <v>-5.4169999999999999E-3</v>
      </c>
      <c r="I108" s="10">
        <v>-1.5833E-2</v>
      </c>
      <c r="J108" s="10">
        <v>4.17E-4</v>
      </c>
      <c r="K108" s="10">
        <v>-1.6670000000000001E-3</v>
      </c>
      <c r="L108" s="10">
        <v>5.5417000000000001E-2</v>
      </c>
      <c r="N108" s="10"/>
      <c r="O108" s="10"/>
      <c r="P108" s="10"/>
      <c r="Q108" s="10"/>
      <c r="R108" s="10"/>
      <c r="S108" s="10"/>
      <c r="T108" s="10"/>
      <c r="U108" s="10"/>
      <c r="V108" s="10"/>
    </row>
    <row r="109" spans="1:22" x14ac:dyDescent="0.3">
      <c r="N109" s="10"/>
      <c r="O109" s="10"/>
      <c r="P109" s="10"/>
      <c r="Q109" s="10"/>
      <c r="R109" s="10"/>
      <c r="S109" s="10"/>
      <c r="T109" s="10"/>
      <c r="U109" s="10"/>
      <c r="V109" s="10"/>
    </row>
    <row r="110" spans="1:22" x14ac:dyDescent="0.3">
      <c r="N110" s="10"/>
      <c r="O110" s="10"/>
      <c r="P110" s="10"/>
      <c r="Q110" s="10"/>
      <c r="R110" s="10"/>
      <c r="S110" s="10"/>
      <c r="T110" s="10"/>
      <c r="U110" s="10"/>
      <c r="V110" s="10"/>
    </row>
    <row r="111" spans="1:22" x14ac:dyDescent="0.3">
      <c r="N111" s="10"/>
      <c r="O111" s="10"/>
      <c r="P111" s="10"/>
      <c r="Q111" s="10"/>
      <c r="R111" s="10"/>
      <c r="S111" s="10"/>
      <c r="T111" s="10"/>
      <c r="U111" s="10"/>
      <c r="V111" s="10"/>
    </row>
    <row r="112" spans="1:22" x14ac:dyDescent="0.3">
      <c r="A112" s="4" t="s">
        <v>215</v>
      </c>
      <c r="B112" s="4"/>
      <c r="C112" s="4"/>
      <c r="D112" s="4"/>
      <c r="E112" s="4"/>
      <c r="F112" s="4"/>
      <c r="G112" s="4"/>
      <c r="H112" s="4"/>
      <c r="I112" s="4"/>
      <c r="J112" s="4"/>
      <c r="K112" s="4"/>
      <c r="L112" s="4"/>
      <c r="N112" s="10"/>
      <c r="O112" s="10"/>
      <c r="P112" s="10"/>
      <c r="Q112" s="10"/>
      <c r="R112" s="10"/>
      <c r="S112" s="10"/>
      <c r="T112" s="10"/>
      <c r="U112" s="10"/>
      <c r="V112" s="10"/>
    </row>
    <row r="113" spans="1:22" x14ac:dyDescent="0.3">
      <c r="A113" s="4"/>
      <c r="B113" s="4" t="s">
        <v>103</v>
      </c>
      <c r="C113" s="4">
        <v>0</v>
      </c>
      <c r="D113" s="4">
        <v>20.332999999999998</v>
      </c>
      <c r="E113" s="4">
        <v>40.665999999999997</v>
      </c>
      <c r="F113" s="4">
        <v>60.998999999999995</v>
      </c>
      <c r="G113" s="4">
        <v>81.331999999999994</v>
      </c>
      <c r="H113" s="4">
        <v>101.66499999999999</v>
      </c>
      <c r="I113" s="4">
        <v>121.99799999999999</v>
      </c>
      <c r="J113" s="4">
        <v>142.33099999999999</v>
      </c>
      <c r="K113" s="4">
        <v>162.66399999999999</v>
      </c>
      <c r="L113" s="4">
        <v>182.99699999999999</v>
      </c>
      <c r="N113" s="10"/>
      <c r="O113" s="10"/>
      <c r="P113" s="10"/>
      <c r="Q113" s="10"/>
      <c r="R113" s="10"/>
      <c r="S113" s="10"/>
      <c r="T113" s="10"/>
      <c r="U113" s="10"/>
      <c r="V113" s="10"/>
    </row>
    <row r="114" spans="1:22" x14ac:dyDescent="0.3">
      <c r="A114" t="s">
        <v>102</v>
      </c>
      <c r="C114" s="4">
        <v>27</v>
      </c>
      <c r="D114" s="4">
        <v>47.332999999999998</v>
      </c>
      <c r="E114" s="4">
        <v>67.665999999999997</v>
      </c>
      <c r="F114" s="4">
        <v>87.998999999999995</v>
      </c>
      <c r="G114" s="4">
        <v>108.33199999999999</v>
      </c>
      <c r="H114" s="4">
        <v>128.66499999999999</v>
      </c>
      <c r="I114" s="4">
        <v>148.99799999999999</v>
      </c>
      <c r="J114" s="4">
        <v>169.33099999999999</v>
      </c>
      <c r="K114" s="4">
        <v>189.66399999999999</v>
      </c>
      <c r="L114" s="4">
        <v>209.99699999999999</v>
      </c>
      <c r="N114" s="10"/>
      <c r="O114" s="10"/>
      <c r="P114" s="10"/>
      <c r="Q114" s="10"/>
      <c r="R114" s="10"/>
      <c r="S114" s="10"/>
      <c r="T114" s="10"/>
      <c r="U114" s="10"/>
      <c r="V114" s="10"/>
    </row>
    <row r="115" spans="1:22" x14ac:dyDescent="0.3">
      <c r="A115" s="4">
        <v>32</v>
      </c>
      <c r="B115" s="4">
        <v>12</v>
      </c>
      <c r="C115" s="10">
        <v>0.162083</v>
      </c>
      <c r="D115" s="10">
        <v>0.10291699999999999</v>
      </c>
      <c r="E115" s="10">
        <v>8.7500000000000008E-3</v>
      </c>
      <c r="F115" s="10">
        <v>4.5830000000000003E-3</v>
      </c>
      <c r="G115" s="10">
        <v>-3.7082999999999998E-2</v>
      </c>
      <c r="H115" s="10">
        <v>-2.2499999999999999E-2</v>
      </c>
      <c r="I115" s="10">
        <v>-1.3332999999999999E-2</v>
      </c>
      <c r="J115" s="10">
        <v>1.4999999999999999E-2</v>
      </c>
      <c r="K115" s="10">
        <v>3.6249999999999998E-2</v>
      </c>
      <c r="L115" s="10">
        <v>7.5416999999999998E-2</v>
      </c>
      <c r="N115" s="10"/>
      <c r="O115" s="10"/>
      <c r="P115" s="10"/>
      <c r="Q115" s="10"/>
      <c r="R115" s="10"/>
      <c r="S115" s="10"/>
      <c r="T115" s="10"/>
      <c r="U115" s="10"/>
      <c r="V115" s="10"/>
    </row>
    <row r="116" spans="1:22" x14ac:dyDescent="0.3">
      <c r="A116" s="4">
        <v>53.444000000000003</v>
      </c>
      <c r="B116" s="4">
        <v>33.444000000000003</v>
      </c>
      <c r="C116" s="10">
        <v>0.11</v>
      </c>
      <c r="D116" s="10">
        <v>7.1249999999999994E-2</v>
      </c>
      <c r="E116" s="10">
        <v>-8.3330000000000001E-3</v>
      </c>
      <c r="F116" s="10">
        <v>-1.125E-2</v>
      </c>
      <c r="G116" s="10">
        <v>-3.6249999999999998E-2</v>
      </c>
      <c r="H116" s="10">
        <v>-2.1250000000000002E-2</v>
      </c>
      <c r="I116" s="10">
        <v>-0.02</v>
      </c>
      <c r="J116" s="10">
        <v>8.7500000000000008E-3</v>
      </c>
      <c r="K116" s="10">
        <v>1.7916999999999999E-2</v>
      </c>
      <c r="L116" s="10">
        <v>3.4583000000000003E-2</v>
      </c>
      <c r="N116" s="10"/>
      <c r="O116" s="10"/>
      <c r="P116" s="10"/>
      <c r="Q116" s="10"/>
      <c r="R116" s="10"/>
      <c r="S116" s="10"/>
      <c r="T116" s="10"/>
      <c r="U116" s="10"/>
      <c r="V116" s="10"/>
    </row>
    <row r="117" spans="1:22" x14ac:dyDescent="0.3">
      <c r="A117" s="4">
        <v>74.888000000000005</v>
      </c>
      <c r="B117" s="4">
        <v>54.888000000000005</v>
      </c>
      <c r="C117" s="10">
        <v>0.12</v>
      </c>
      <c r="D117" s="10">
        <v>9.6667000000000003E-2</v>
      </c>
      <c r="E117" s="10">
        <v>1.8332999999999999E-2</v>
      </c>
      <c r="F117" s="10">
        <v>7.4999999999999997E-3</v>
      </c>
      <c r="G117" s="10">
        <v>-2.6667E-2</v>
      </c>
      <c r="H117" s="10">
        <v>-1.3332999999999999E-2</v>
      </c>
      <c r="I117" s="10">
        <v>-1.9167E-2</v>
      </c>
      <c r="J117" s="10">
        <v>2.5000000000000001E-3</v>
      </c>
      <c r="K117" s="10">
        <v>5.0000000000000001E-3</v>
      </c>
      <c r="L117" s="10">
        <v>2.5832999999999998E-2</v>
      </c>
      <c r="N117" s="10"/>
      <c r="O117" s="10"/>
      <c r="P117" s="10"/>
      <c r="Q117" s="10"/>
      <c r="R117" s="10"/>
      <c r="S117" s="10"/>
      <c r="T117" s="10"/>
      <c r="U117" s="10"/>
      <c r="V117" s="10"/>
    </row>
    <row r="118" spans="1:22" x14ac:dyDescent="0.3">
      <c r="A118" s="4">
        <v>96.332000000000008</v>
      </c>
      <c r="B118" s="4">
        <v>76.332000000000008</v>
      </c>
      <c r="C118" s="10">
        <v>0.10125000000000001</v>
      </c>
      <c r="D118" s="10">
        <v>7.4582999999999997E-2</v>
      </c>
      <c r="E118" s="10">
        <v>1.4167000000000001E-2</v>
      </c>
      <c r="F118" s="10">
        <v>1.8749999999999999E-2</v>
      </c>
      <c r="G118" s="10">
        <v>-0.02</v>
      </c>
      <c r="H118" s="10">
        <v>-1.375E-2</v>
      </c>
      <c r="I118" s="10">
        <v>-2.4167000000000001E-2</v>
      </c>
      <c r="J118" s="10">
        <v>-2.5000000000000001E-3</v>
      </c>
      <c r="K118" s="10">
        <v>-6.2500000000000003E-3</v>
      </c>
      <c r="L118" s="10">
        <v>3.2500000000000001E-2</v>
      </c>
      <c r="N118" s="10"/>
      <c r="O118" s="10"/>
      <c r="P118" s="10"/>
      <c r="Q118" s="10"/>
      <c r="R118" s="10"/>
      <c r="S118" s="10"/>
      <c r="T118" s="10"/>
      <c r="U118" s="10"/>
      <c r="V118" s="10"/>
    </row>
    <row r="119" spans="1:22" x14ac:dyDescent="0.3">
      <c r="A119" s="4">
        <v>117.77600000000001</v>
      </c>
      <c r="B119" s="4">
        <v>97.77600000000001</v>
      </c>
      <c r="C119" s="10">
        <v>9.8750000000000004E-2</v>
      </c>
      <c r="D119" s="10">
        <v>0.08</v>
      </c>
      <c r="E119" s="10">
        <v>2.2499999999999999E-2</v>
      </c>
      <c r="F119" s="10">
        <v>2.1250000000000002E-2</v>
      </c>
      <c r="G119" s="10">
        <v>-2.1666999999999999E-2</v>
      </c>
      <c r="H119" s="10">
        <v>-2.0833000000000001E-2</v>
      </c>
      <c r="I119" s="10">
        <v>-3.2500000000000001E-2</v>
      </c>
      <c r="J119" s="10">
        <v>-1.4999999999999999E-2</v>
      </c>
      <c r="K119" s="10">
        <v>-2.6249999999999999E-2</v>
      </c>
      <c r="L119" s="10">
        <v>2.0417000000000001E-2</v>
      </c>
      <c r="N119" s="10"/>
      <c r="O119" s="10"/>
      <c r="P119" s="10"/>
      <c r="Q119" s="10"/>
      <c r="R119" s="10"/>
      <c r="S119" s="10"/>
      <c r="T119" s="10"/>
      <c r="U119" s="10"/>
      <c r="V119" s="10"/>
    </row>
    <row r="120" spans="1:22" x14ac:dyDescent="0.3">
      <c r="A120" s="4">
        <v>139.22</v>
      </c>
      <c r="B120" s="4">
        <v>119.22000000000001</v>
      </c>
      <c r="C120" s="10">
        <v>0.105</v>
      </c>
      <c r="D120" s="10">
        <v>0.08</v>
      </c>
      <c r="E120" s="10">
        <v>2.0417000000000001E-2</v>
      </c>
      <c r="F120" s="10">
        <v>1.3332999999999999E-2</v>
      </c>
      <c r="G120" s="10">
        <v>-3.8332999999999999E-2</v>
      </c>
      <c r="H120" s="10">
        <v>-3.2917000000000002E-2</v>
      </c>
      <c r="I120" s="10">
        <v>-3.7916999999999999E-2</v>
      </c>
      <c r="J120" s="10">
        <v>-1.9583E-2</v>
      </c>
      <c r="K120" s="10">
        <v>-3.125E-2</v>
      </c>
      <c r="L120" s="10">
        <v>1.7500000000000002E-2</v>
      </c>
      <c r="N120" s="10"/>
      <c r="O120" s="10"/>
      <c r="P120" s="10"/>
      <c r="Q120" s="10"/>
      <c r="R120" s="10"/>
      <c r="S120" s="10"/>
      <c r="T120" s="10"/>
      <c r="U120" s="10"/>
      <c r="V120" s="10"/>
    </row>
    <row r="121" spans="1:22" x14ac:dyDescent="0.3">
      <c r="A121" s="4">
        <v>160.66399999999999</v>
      </c>
      <c r="B121" s="4">
        <v>140.66400000000002</v>
      </c>
      <c r="C121" s="10">
        <v>0.104167</v>
      </c>
      <c r="D121" s="10">
        <v>8.3750000000000005E-2</v>
      </c>
      <c r="E121" s="10">
        <v>2.375E-2</v>
      </c>
      <c r="F121" s="10">
        <v>2.5000000000000001E-2</v>
      </c>
      <c r="G121" s="10">
        <v>-1.6667000000000001E-2</v>
      </c>
      <c r="H121" s="10">
        <v>-1.4999999999999999E-2</v>
      </c>
      <c r="I121" s="10">
        <v>-2.7917000000000001E-2</v>
      </c>
      <c r="J121" s="10">
        <v>-2.2082999999999998E-2</v>
      </c>
      <c r="K121" s="10">
        <v>-2.6249999999999999E-2</v>
      </c>
      <c r="L121" s="10">
        <v>2.75E-2</v>
      </c>
      <c r="N121" s="10"/>
      <c r="O121" s="10"/>
      <c r="P121" s="10"/>
      <c r="Q121" s="10"/>
      <c r="R121" s="10"/>
      <c r="S121" s="10"/>
      <c r="T121" s="10"/>
      <c r="U121" s="10"/>
      <c r="V121" s="10"/>
    </row>
    <row r="122" spans="1:22" x14ac:dyDescent="0.3">
      <c r="A122" s="4">
        <v>182.10799999999998</v>
      </c>
      <c r="B122" s="4">
        <v>162.108</v>
      </c>
      <c r="C122" s="10">
        <v>0.10375</v>
      </c>
      <c r="D122" s="10">
        <v>7.7499999999999999E-2</v>
      </c>
      <c r="E122" s="10">
        <v>2.0417000000000001E-2</v>
      </c>
      <c r="F122" s="10">
        <v>0.03</v>
      </c>
      <c r="G122" s="10">
        <v>-3.7499999999999999E-3</v>
      </c>
      <c r="H122" s="10">
        <v>-6.2500000000000003E-3</v>
      </c>
      <c r="I122" s="10">
        <v>-1.8749999999999999E-2</v>
      </c>
      <c r="J122" s="10">
        <v>-1.6250000000000001E-2</v>
      </c>
      <c r="K122" s="10">
        <v>-6.2500000000000003E-3</v>
      </c>
      <c r="L122" s="10">
        <v>4.3333000000000003E-2</v>
      </c>
      <c r="N122" s="10"/>
      <c r="O122" s="10"/>
      <c r="P122" s="10"/>
      <c r="Q122" s="10"/>
      <c r="R122" s="10"/>
      <c r="S122" s="10"/>
      <c r="T122" s="10"/>
      <c r="U122" s="10"/>
      <c r="V122" s="10"/>
    </row>
    <row r="123" spans="1:22" x14ac:dyDescent="0.3">
      <c r="A123" s="4">
        <v>203.55199999999996</v>
      </c>
      <c r="B123" s="4">
        <v>183.55199999999999</v>
      </c>
      <c r="C123" s="10">
        <v>9.0416999999999997E-2</v>
      </c>
      <c r="D123" s="10">
        <v>6.8750000000000006E-2</v>
      </c>
      <c r="E123" s="10">
        <v>1.7500000000000002E-2</v>
      </c>
      <c r="F123" s="10">
        <v>0.03</v>
      </c>
      <c r="G123" s="10">
        <v>-3.7499999999999999E-3</v>
      </c>
      <c r="H123" s="10">
        <v>-3.333E-3</v>
      </c>
      <c r="I123" s="10">
        <v>-1.5833E-2</v>
      </c>
      <c r="J123" s="10">
        <v>-1.0833000000000001E-2</v>
      </c>
      <c r="K123" s="10">
        <v>-4.5830000000000003E-3</v>
      </c>
      <c r="L123" s="10">
        <v>5.6667000000000002E-2</v>
      </c>
      <c r="N123" s="10"/>
      <c r="O123" s="10"/>
      <c r="P123" s="10"/>
      <c r="Q123" s="10"/>
      <c r="R123" s="10"/>
      <c r="S123" s="10"/>
      <c r="T123" s="10"/>
      <c r="U123" s="10"/>
      <c r="V123" s="10"/>
    </row>
    <row r="124" spans="1:22" x14ac:dyDescent="0.3">
      <c r="A124" s="4">
        <v>224.99599999999995</v>
      </c>
      <c r="B124" s="4">
        <v>204.99599999999998</v>
      </c>
      <c r="C124" s="10">
        <v>0.112083</v>
      </c>
      <c r="D124" s="10">
        <v>8.8749999999999996E-2</v>
      </c>
      <c r="E124" s="10">
        <v>4.2500000000000003E-2</v>
      </c>
      <c r="F124" s="10">
        <v>5.7500000000000002E-2</v>
      </c>
      <c r="G124" s="10">
        <v>3.7499999999999999E-3</v>
      </c>
      <c r="H124" s="10">
        <v>-1.25E-3</v>
      </c>
      <c r="I124" s="10">
        <v>-9.5829999999999995E-3</v>
      </c>
      <c r="J124" s="10">
        <v>-2.9169999999999999E-3</v>
      </c>
      <c r="K124" s="10">
        <v>4.5830000000000003E-3</v>
      </c>
      <c r="L124" s="10">
        <v>6.7917000000000005E-2</v>
      </c>
      <c r="N124" s="10"/>
      <c r="O124" s="10"/>
      <c r="P124" s="10"/>
      <c r="Q124" s="10"/>
      <c r="R124" s="10"/>
      <c r="S124" s="10"/>
      <c r="T124" s="10"/>
      <c r="U124" s="10"/>
      <c r="V124" s="10"/>
    </row>
    <row r="125" spans="1:22" x14ac:dyDescent="0.3">
      <c r="N125" s="10"/>
      <c r="O125" s="10"/>
      <c r="P125" s="10"/>
      <c r="Q125" s="10"/>
      <c r="R125" s="10"/>
      <c r="S125" s="10"/>
      <c r="T125" s="10"/>
      <c r="U125" s="10"/>
      <c r="V125" s="10"/>
    </row>
    <row r="126" spans="1:22" x14ac:dyDescent="0.3">
      <c r="N126" s="10"/>
      <c r="O126" s="10"/>
      <c r="P126" s="10"/>
      <c r="Q126" s="10"/>
      <c r="R126" s="10"/>
      <c r="S126" s="10"/>
      <c r="T126" s="10"/>
      <c r="U126" s="10"/>
      <c r="V126" s="10"/>
    </row>
    <row r="127" spans="1:22" x14ac:dyDescent="0.3">
      <c r="A127" s="20" t="s">
        <v>216</v>
      </c>
      <c r="B127" s="20"/>
      <c r="C127" s="20"/>
      <c r="D127" s="20"/>
      <c r="E127" s="20"/>
      <c r="F127" s="20"/>
      <c r="G127" s="20"/>
      <c r="H127" s="20"/>
      <c r="I127" s="20"/>
      <c r="J127" s="20"/>
      <c r="K127" s="20"/>
      <c r="L127" s="20"/>
      <c r="M127" s="10"/>
      <c r="N127" s="10"/>
      <c r="O127" s="10"/>
      <c r="P127" s="10"/>
      <c r="Q127" s="10"/>
      <c r="R127" s="10"/>
      <c r="S127" s="10"/>
      <c r="T127" s="10"/>
      <c r="U127" s="10"/>
      <c r="V127" s="10"/>
    </row>
    <row r="128" spans="1:22" x14ac:dyDescent="0.3">
      <c r="A128" s="20"/>
      <c r="B128" s="20" t="s">
        <v>103</v>
      </c>
      <c r="C128" s="20">
        <v>0</v>
      </c>
      <c r="D128" s="20">
        <v>20.332999999999998</v>
      </c>
      <c r="E128" s="20">
        <v>40.665999999999997</v>
      </c>
      <c r="F128" s="20">
        <v>60.998999999999995</v>
      </c>
      <c r="G128" s="20">
        <v>81.331999999999994</v>
      </c>
      <c r="H128" s="20">
        <v>101.66499999999999</v>
      </c>
      <c r="I128" s="20">
        <v>121.99799999999999</v>
      </c>
      <c r="J128" s="20">
        <v>142.33099999999999</v>
      </c>
      <c r="K128" s="20">
        <v>162.66399999999999</v>
      </c>
      <c r="L128" s="20">
        <v>182.99699999999999</v>
      </c>
      <c r="M128" s="10"/>
      <c r="N128" s="10"/>
      <c r="O128" s="10"/>
      <c r="P128" s="10"/>
      <c r="Q128" s="10"/>
      <c r="R128" s="10"/>
      <c r="S128" s="10"/>
      <c r="T128" s="10"/>
      <c r="U128" s="10"/>
      <c r="V128" s="10"/>
    </row>
    <row r="129" spans="1:12" x14ac:dyDescent="0.3">
      <c r="A129" s="20" t="s">
        <v>102</v>
      </c>
      <c r="B129" s="20"/>
      <c r="C129" s="20">
        <v>27</v>
      </c>
      <c r="D129" s="20">
        <v>47.332999999999998</v>
      </c>
      <c r="E129" s="20">
        <v>67.665999999999997</v>
      </c>
      <c r="F129" s="20">
        <v>87.998999999999995</v>
      </c>
      <c r="G129" s="20">
        <v>108.33199999999999</v>
      </c>
      <c r="H129" s="20">
        <v>128.66499999999999</v>
      </c>
      <c r="I129" s="20">
        <v>148.99799999999999</v>
      </c>
      <c r="J129" s="20">
        <v>169.33099999999999</v>
      </c>
      <c r="K129" s="20">
        <v>189.66399999999999</v>
      </c>
      <c r="L129" s="20">
        <v>209.99699999999999</v>
      </c>
    </row>
    <row r="130" spans="1:12" x14ac:dyDescent="0.3">
      <c r="A130" s="4">
        <v>32</v>
      </c>
      <c r="B130" s="4">
        <v>12</v>
      </c>
      <c r="C130" s="10">
        <f>-0.04625</f>
        <v>-4.6249999999999999E-2</v>
      </c>
      <c r="D130" s="10">
        <v>-4.8750000000000002E-2</v>
      </c>
      <c r="E130" s="10">
        <v>-0.10291699999999999</v>
      </c>
      <c r="F130" s="10">
        <v>-8.6249999999999993E-2</v>
      </c>
      <c r="G130" s="10">
        <v>-0.120833</v>
      </c>
      <c r="H130" s="10">
        <v>-0.106667</v>
      </c>
      <c r="I130" s="10">
        <v>-0.12</v>
      </c>
      <c r="J130" s="10">
        <v>-0.11791699999999999</v>
      </c>
      <c r="K130" s="10">
        <v>-0.13666700000000001</v>
      </c>
      <c r="L130" s="10">
        <v>-0.14874999999999999</v>
      </c>
    </row>
    <row r="131" spans="1:12" x14ac:dyDescent="0.3">
      <c r="A131" s="4">
        <v>53.444000000000003</v>
      </c>
      <c r="B131" s="4">
        <v>33.444000000000003</v>
      </c>
      <c r="C131" s="10">
        <f>-0.03375</f>
        <v>-3.3750000000000002E-2</v>
      </c>
      <c r="D131" s="10">
        <v>-3.0832999999999999E-2</v>
      </c>
      <c r="E131" s="10">
        <v>-8.6249999999999993E-2</v>
      </c>
      <c r="F131" s="10">
        <v>-6.7500000000000004E-2</v>
      </c>
      <c r="G131" s="10">
        <v>-8.8749999999999996E-2</v>
      </c>
      <c r="H131" s="10">
        <v>-7.7082999999999999E-2</v>
      </c>
      <c r="I131" s="10">
        <v>-9.7500000000000003E-2</v>
      </c>
      <c r="J131" s="10">
        <v>-8.8332999999999995E-2</v>
      </c>
      <c r="K131" s="10">
        <v>-0.12</v>
      </c>
      <c r="L131" s="10">
        <v>-0.13875000000000001</v>
      </c>
    </row>
    <row r="132" spans="1:12" x14ac:dyDescent="0.3">
      <c r="A132" s="4">
        <v>74.888000000000005</v>
      </c>
      <c r="B132" s="4">
        <v>54.888000000000005</v>
      </c>
      <c r="C132" s="10">
        <v>1.5417E-2</v>
      </c>
      <c r="D132" s="10">
        <v>2.5000000000000001E-2</v>
      </c>
      <c r="E132" s="10">
        <v>-3.125E-2</v>
      </c>
      <c r="F132" s="10">
        <v>-2.6249999999999999E-2</v>
      </c>
      <c r="G132" s="10">
        <v>-5.8333000000000003E-2</v>
      </c>
      <c r="H132" s="10">
        <v>-0.05</v>
      </c>
      <c r="I132" s="10">
        <v>-5.9582999999999997E-2</v>
      </c>
      <c r="J132" s="10">
        <v>-5.9166999999999997E-2</v>
      </c>
      <c r="K132" s="10">
        <v>-6.25E-2</v>
      </c>
      <c r="L132" s="10">
        <v>-8.4583000000000005E-2</v>
      </c>
    </row>
    <row r="133" spans="1:12" x14ac:dyDescent="0.3">
      <c r="A133" s="4">
        <v>96.332000000000008</v>
      </c>
      <c r="B133" s="4">
        <v>76.332000000000008</v>
      </c>
      <c r="C133" s="10">
        <v>3.7499999999999999E-2</v>
      </c>
      <c r="D133" s="10">
        <v>3.5416999999999997E-2</v>
      </c>
      <c r="E133" s="10">
        <v>-5.4169999999999999E-3</v>
      </c>
      <c r="F133" s="10">
        <v>6.2500000000000003E-3</v>
      </c>
      <c r="G133" s="10">
        <v>-3.2083E-2</v>
      </c>
      <c r="H133" s="10">
        <v>-2.5416999999999999E-2</v>
      </c>
      <c r="I133" s="10">
        <v>-3.9167E-2</v>
      </c>
      <c r="J133" s="10">
        <v>-3.5000000000000003E-2</v>
      </c>
      <c r="K133" s="10">
        <v>-2.6667E-2</v>
      </c>
      <c r="L133" s="10">
        <v>1.25E-3</v>
      </c>
    </row>
    <row r="134" spans="1:12" x14ac:dyDescent="0.3">
      <c r="A134" s="4">
        <v>117.77600000000001</v>
      </c>
      <c r="B134" s="4">
        <v>97.77600000000001</v>
      </c>
      <c r="C134" s="10">
        <v>0.05</v>
      </c>
      <c r="D134" s="10">
        <v>5.2499999999999998E-2</v>
      </c>
      <c r="E134" s="10">
        <v>1.5417E-2</v>
      </c>
      <c r="F134" s="10">
        <v>0.02</v>
      </c>
      <c r="G134" s="10">
        <v>-2.2082999999999998E-2</v>
      </c>
      <c r="H134" s="10">
        <v>-2.1666999999999999E-2</v>
      </c>
      <c r="I134" s="10">
        <v>-3.7082999999999998E-2</v>
      </c>
      <c r="J134" s="10">
        <v>-3.2083E-2</v>
      </c>
      <c r="K134" s="10">
        <v>-2.0417000000000001E-2</v>
      </c>
      <c r="L134" s="10">
        <v>2.9583000000000002E-2</v>
      </c>
    </row>
    <row r="135" spans="1:12" x14ac:dyDescent="0.3">
      <c r="A135" s="4">
        <v>139.22</v>
      </c>
      <c r="B135" s="4">
        <v>119.22000000000001</v>
      </c>
      <c r="C135" s="10">
        <v>6.8333000000000005E-2</v>
      </c>
      <c r="D135" s="10">
        <v>6.2917000000000001E-2</v>
      </c>
      <c r="E135" s="10">
        <v>1.7083000000000001E-2</v>
      </c>
      <c r="F135" s="10">
        <v>0.02</v>
      </c>
      <c r="G135" s="10">
        <v>-3.5000000000000003E-2</v>
      </c>
      <c r="H135" s="10">
        <v>-2.9583000000000002E-2</v>
      </c>
      <c r="I135" s="10">
        <v>-4.2083000000000002E-2</v>
      </c>
      <c r="J135" s="10">
        <v>-3.5000000000000003E-2</v>
      </c>
      <c r="K135" s="10">
        <v>-2.75E-2</v>
      </c>
      <c r="L135" s="10">
        <v>2.8333000000000001E-2</v>
      </c>
    </row>
    <row r="136" spans="1:12" x14ac:dyDescent="0.3">
      <c r="A136" s="4">
        <v>160.66399999999999</v>
      </c>
      <c r="B136" s="4">
        <v>140.66400000000002</v>
      </c>
      <c r="C136" s="10">
        <v>5.8333000000000003E-2</v>
      </c>
      <c r="D136" s="10">
        <v>6.2082999999999999E-2</v>
      </c>
      <c r="E136" s="10">
        <v>1.7916999999999999E-2</v>
      </c>
      <c r="F136" s="10">
        <v>2.2499999999999999E-2</v>
      </c>
      <c r="G136" s="10">
        <v>-1.7916999999999999E-2</v>
      </c>
      <c r="H136" s="10">
        <v>-1.6667000000000001E-2</v>
      </c>
      <c r="I136" s="10">
        <v>-3.6666999999999998E-2</v>
      </c>
      <c r="J136" s="10">
        <v>-2.7917000000000001E-2</v>
      </c>
      <c r="K136" s="10">
        <v>-3.125E-2</v>
      </c>
      <c r="L136" s="10">
        <v>2.9583000000000002E-2</v>
      </c>
    </row>
    <row r="137" spans="1:12" x14ac:dyDescent="0.3">
      <c r="A137" s="4">
        <v>182.10799999999998</v>
      </c>
      <c r="B137" s="4">
        <v>162.108</v>
      </c>
      <c r="C137" s="10">
        <v>5.2499999999999998E-2</v>
      </c>
      <c r="D137" s="10">
        <v>4.6249999999999999E-2</v>
      </c>
      <c r="E137" s="10">
        <v>5.4169999999999999E-3</v>
      </c>
      <c r="F137" s="10">
        <v>2.2499999999999999E-2</v>
      </c>
      <c r="G137" s="10">
        <v>-1.3332999999999999E-2</v>
      </c>
      <c r="H137" s="10">
        <v>-1.4583E-2</v>
      </c>
      <c r="I137" s="10">
        <v>-3.7916999999999999E-2</v>
      </c>
      <c r="J137" s="10">
        <v>-1.9583E-2</v>
      </c>
      <c r="K137" s="10">
        <v>-4.4999999999999998E-2</v>
      </c>
      <c r="L137" s="10">
        <v>1.8332999999999999E-2</v>
      </c>
    </row>
    <row r="138" spans="1:12" x14ac:dyDescent="0.3">
      <c r="A138" s="4">
        <v>203.55199999999996</v>
      </c>
      <c r="B138" s="4">
        <v>183.55199999999999</v>
      </c>
      <c r="C138" s="10">
        <v>1.8749999999999999E-2</v>
      </c>
      <c r="D138" s="10">
        <v>2.1250000000000002E-2</v>
      </c>
      <c r="E138" s="10">
        <v>-1.125E-2</v>
      </c>
      <c r="F138" s="10">
        <v>0.01</v>
      </c>
      <c r="G138" s="10">
        <v>-1.9167E-2</v>
      </c>
      <c r="H138" s="10">
        <v>-0.02</v>
      </c>
      <c r="I138" s="10">
        <v>-4.0417000000000002E-2</v>
      </c>
      <c r="J138" s="10">
        <v>-1.8749999999999999E-2</v>
      </c>
      <c r="K138" s="10">
        <v>-3.5416999999999997E-2</v>
      </c>
      <c r="L138" s="10">
        <v>3.4167000000000003E-2</v>
      </c>
    </row>
    <row r="139" spans="1:12" x14ac:dyDescent="0.3">
      <c r="A139" s="4">
        <v>224.99599999999995</v>
      </c>
      <c r="B139" s="4">
        <v>204.99599999999998</v>
      </c>
      <c r="C139" s="10">
        <v>3.7082999999999998E-2</v>
      </c>
      <c r="D139" s="10">
        <v>3.7916999999999999E-2</v>
      </c>
      <c r="E139" s="10">
        <v>2.1250000000000002E-2</v>
      </c>
      <c r="F139" s="10">
        <v>4.3749999999999997E-2</v>
      </c>
      <c r="G139" s="10">
        <v>-5.4169999999999999E-3</v>
      </c>
      <c r="H139" s="10">
        <v>-1.0833000000000001E-2</v>
      </c>
      <c r="I139" s="10">
        <v>-2.6249999999999999E-2</v>
      </c>
      <c r="J139" s="10">
        <v>-7.9170000000000004E-3</v>
      </c>
      <c r="K139" s="10">
        <v>-5.8749999999999997E-2</v>
      </c>
      <c r="L139" s="10">
        <v>3.5000000000000003E-2</v>
      </c>
    </row>
    <row r="142" spans="1:12" x14ac:dyDescent="0.3">
      <c r="A142" s="20" t="s">
        <v>216</v>
      </c>
      <c r="B142" s="20"/>
      <c r="C142" s="20"/>
      <c r="D142" s="20"/>
      <c r="E142" s="20"/>
      <c r="F142" s="20"/>
      <c r="G142" s="20"/>
      <c r="H142" s="20"/>
      <c r="I142" s="20"/>
      <c r="J142" s="20"/>
      <c r="K142" s="20"/>
      <c r="L142" s="20"/>
    </row>
    <row r="143" spans="1:12" x14ac:dyDescent="0.3">
      <c r="A143" s="20"/>
      <c r="B143" s="20" t="s">
        <v>103</v>
      </c>
      <c r="C143" s="20">
        <v>0</v>
      </c>
      <c r="D143" s="20">
        <v>20.332999999999998</v>
      </c>
      <c r="E143" s="20">
        <v>40.665999999999997</v>
      </c>
      <c r="F143" s="20">
        <v>60.998999999999995</v>
      </c>
      <c r="G143" s="20">
        <v>81.331999999999994</v>
      </c>
      <c r="H143" s="20">
        <v>101.66499999999999</v>
      </c>
      <c r="I143" s="20">
        <v>121.99799999999999</v>
      </c>
      <c r="J143" s="20">
        <v>142.33099999999999</v>
      </c>
      <c r="K143" s="20">
        <v>162.66399999999999</v>
      </c>
      <c r="L143" s="20">
        <v>182.99699999999999</v>
      </c>
    </row>
    <row r="144" spans="1:12" x14ac:dyDescent="0.3">
      <c r="A144" s="20" t="s">
        <v>102</v>
      </c>
      <c r="B144" s="20"/>
      <c r="C144" s="20">
        <v>27</v>
      </c>
      <c r="D144" s="20">
        <v>47.332999999999998</v>
      </c>
      <c r="E144" s="20">
        <v>67.665999999999997</v>
      </c>
      <c r="F144" s="20">
        <v>87.998999999999995</v>
      </c>
      <c r="G144" s="20">
        <v>108.33199999999999</v>
      </c>
      <c r="H144" s="20">
        <v>128.66499999999999</v>
      </c>
      <c r="I144" s="20">
        <v>148.99799999999999</v>
      </c>
      <c r="J144" s="20">
        <v>169.33099999999999</v>
      </c>
      <c r="K144" s="20">
        <v>189.66399999999999</v>
      </c>
      <c r="L144" s="20">
        <v>209.99699999999999</v>
      </c>
    </row>
    <row r="145" spans="1:12" x14ac:dyDescent="0.3">
      <c r="A145" s="4">
        <v>32</v>
      </c>
      <c r="B145" s="4">
        <v>12</v>
      </c>
      <c r="C145" s="10">
        <v>4.5832999999999999E-2</v>
      </c>
      <c r="D145" s="10">
        <v>4.5830000000000003E-3</v>
      </c>
      <c r="E145" s="10">
        <v>-6.5833000000000003E-2</v>
      </c>
      <c r="F145" s="10">
        <v>-6.3333E-2</v>
      </c>
      <c r="G145" s="10">
        <v>-0.10125000000000001</v>
      </c>
      <c r="H145" s="10">
        <v>-8.8749999999999996E-2</v>
      </c>
      <c r="I145" s="10">
        <v>-9.9583000000000005E-2</v>
      </c>
      <c r="J145" s="10">
        <v>-6.8333000000000005E-2</v>
      </c>
      <c r="K145" s="10">
        <v>-6.7083000000000004E-2</v>
      </c>
      <c r="L145" s="10">
        <v>-3.7499999999999999E-2</v>
      </c>
    </row>
    <row r="146" spans="1:12" x14ac:dyDescent="0.3">
      <c r="A146" s="4">
        <v>53.444000000000003</v>
      </c>
      <c r="B146" s="4">
        <v>33.444000000000003</v>
      </c>
      <c r="C146" s="10">
        <v>2.4583000000000001E-2</v>
      </c>
      <c r="D146" s="10">
        <v>1.6670000000000001E-3</v>
      </c>
      <c r="E146" s="10">
        <v>-6.3750000000000001E-2</v>
      </c>
      <c r="F146" s="10">
        <v>-5.6250000000000001E-2</v>
      </c>
      <c r="G146" s="10">
        <v>-7.8333E-2</v>
      </c>
      <c r="H146" s="10">
        <v>-6.5833000000000003E-2</v>
      </c>
      <c r="I146" s="10">
        <v>-8.1667000000000003E-2</v>
      </c>
      <c r="J146" s="10">
        <v>-4.3749999999999997E-2</v>
      </c>
      <c r="K146" s="10">
        <v>-6.5417000000000003E-2</v>
      </c>
      <c r="L146" s="10">
        <v>-5.9582999999999997E-2</v>
      </c>
    </row>
    <row r="147" spans="1:12" x14ac:dyDescent="0.3">
      <c r="A147" s="4">
        <v>74.888000000000005</v>
      </c>
      <c r="B147" s="4">
        <v>54.888000000000005</v>
      </c>
      <c r="C147" s="10">
        <v>6.5417000000000003E-2</v>
      </c>
      <c r="D147" s="10">
        <v>5.5833000000000001E-2</v>
      </c>
      <c r="E147" s="10">
        <v>-8.7500000000000008E-3</v>
      </c>
      <c r="F147" s="10">
        <v>-1.2917E-2</v>
      </c>
      <c r="G147" s="10">
        <v>-4.7500000000000001E-2</v>
      </c>
      <c r="H147" s="10">
        <v>-4.0417000000000002E-2</v>
      </c>
      <c r="I147" s="10">
        <v>-5.1249999999999997E-2</v>
      </c>
      <c r="J147" s="10">
        <v>-2.5000000000000001E-3</v>
      </c>
      <c r="K147" s="10">
        <v>-4.17E-4</v>
      </c>
      <c r="L147" s="10">
        <v>1.2917E-2</v>
      </c>
    </row>
    <row r="148" spans="1:12" x14ac:dyDescent="0.3">
      <c r="A148" s="4">
        <v>96.332000000000008</v>
      </c>
      <c r="B148" s="4">
        <v>76.332000000000008</v>
      </c>
      <c r="C148" s="10">
        <v>7.4999999999999997E-2</v>
      </c>
      <c r="D148" s="10">
        <v>5.8749999999999997E-2</v>
      </c>
      <c r="E148" s="10">
        <v>1.375E-2</v>
      </c>
      <c r="F148" s="10">
        <v>1.4999999999999999E-2</v>
      </c>
      <c r="G148" s="10">
        <v>-2.2917E-2</v>
      </c>
      <c r="H148" s="10">
        <v>-0.02</v>
      </c>
      <c r="I148" s="10">
        <v>-2.5832999999999998E-2</v>
      </c>
      <c r="J148" s="10">
        <v>1.0833000000000001E-2</v>
      </c>
      <c r="K148" s="10">
        <v>2.2499999999999999E-2</v>
      </c>
      <c r="L148" s="10">
        <v>5.8749999999999997E-2</v>
      </c>
    </row>
    <row r="149" spans="1:12" x14ac:dyDescent="0.3">
      <c r="A149" s="4">
        <v>117.77600000000001</v>
      </c>
      <c r="B149" s="4">
        <v>97.77600000000001</v>
      </c>
      <c r="C149" s="10">
        <v>8.7082999999999994E-2</v>
      </c>
      <c r="D149" s="10">
        <v>7.8750000000000001E-2</v>
      </c>
      <c r="E149" s="10">
        <v>3.3750000000000002E-2</v>
      </c>
      <c r="F149" s="10">
        <v>3.4583000000000003E-2</v>
      </c>
      <c r="G149" s="10">
        <v>-9.5829999999999995E-3</v>
      </c>
      <c r="H149" s="10">
        <v>-1.6667000000000001E-2</v>
      </c>
      <c r="I149" s="10">
        <v>-1.0416999999999999E-2</v>
      </c>
      <c r="J149" s="10">
        <v>2.3333E-2</v>
      </c>
      <c r="K149" s="10">
        <v>3.7499999999999999E-3</v>
      </c>
      <c r="L149" s="10">
        <v>5.4583E-2</v>
      </c>
    </row>
    <row r="150" spans="1:12" x14ac:dyDescent="0.3">
      <c r="A150" s="4">
        <v>139.22</v>
      </c>
      <c r="B150" s="4">
        <v>119.22000000000001</v>
      </c>
      <c r="C150" s="10">
        <v>0.105</v>
      </c>
      <c r="D150" s="10">
        <v>8.9582999999999996E-2</v>
      </c>
      <c r="E150" s="10">
        <v>4.3333000000000003E-2</v>
      </c>
      <c r="F150" s="10">
        <v>4.1667000000000003E-2</v>
      </c>
      <c r="G150" s="10">
        <v>-1.2500000000000001E-2</v>
      </c>
      <c r="H150" s="10">
        <v>-1.1667E-2</v>
      </c>
      <c r="I150" s="10">
        <v>4.5830000000000003E-3</v>
      </c>
      <c r="J150" s="10">
        <v>3.3750000000000002E-2</v>
      </c>
      <c r="K150" s="10">
        <v>2.8333000000000001E-2</v>
      </c>
      <c r="L150" s="10">
        <v>6.7083000000000004E-2</v>
      </c>
    </row>
    <row r="151" spans="1:12" x14ac:dyDescent="0.3">
      <c r="A151" s="4">
        <v>160.66399999999999</v>
      </c>
      <c r="B151" s="4">
        <v>140.66400000000002</v>
      </c>
      <c r="C151" s="10">
        <v>0.10375</v>
      </c>
      <c r="D151" s="10">
        <v>9.6250000000000002E-2</v>
      </c>
      <c r="E151" s="10">
        <v>4.7500000000000001E-2</v>
      </c>
      <c r="F151" s="10">
        <v>5.1249999999999997E-2</v>
      </c>
      <c r="G151" s="10">
        <v>5.8329999999999996E-3</v>
      </c>
      <c r="H151" s="10">
        <v>3.333E-3</v>
      </c>
      <c r="I151" s="10">
        <v>1.5417E-2</v>
      </c>
      <c r="J151" s="10">
        <v>3.2500000000000001E-2</v>
      </c>
      <c r="K151" s="10">
        <v>2.5000000000000001E-2</v>
      </c>
      <c r="L151" s="10">
        <v>6.1249999999999999E-2</v>
      </c>
    </row>
    <row r="152" spans="1:12" x14ac:dyDescent="0.3">
      <c r="A152" s="4">
        <v>182.10799999999998</v>
      </c>
      <c r="B152" s="4">
        <v>162.108</v>
      </c>
      <c r="C152" s="10">
        <v>0.10875</v>
      </c>
      <c r="D152" s="10">
        <v>9.3332999999999999E-2</v>
      </c>
      <c r="E152" s="10">
        <v>4.8333000000000001E-2</v>
      </c>
      <c r="F152" s="10">
        <v>5.9166999999999997E-2</v>
      </c>
      <c r="G152" s="10">
        <v>1.7916999999999999E-2</v>
      </c>
      <c r="H152" s="10">
        <v>1.2917E-2</v>
      </c>
      <c r="I152" s="10">
        <v>1.7500000000000002E-2</v>
      </c>
      <c r="J152" s="10">
        <v>3.8332999999999999E-2</v>
      </c>
      <c r="K152" s="10">
        <v>3.2500000000000001E-2</v>
      </c>
      <c r="L152" s="10">
        <v>6.7917000000000005E-2</v>
      </c>
    </row>
    <row r="153" spans="1:12" x14ac:dyDescent="0.3">
      <c r="A153" s="4">
        <v>203.55199999999996</v>
      </c>
      <c r="B153" s="4">
        <v>183.55199999999999</v>
      </c>
      <c r="C153" s="10">
        <v>8.2500000000000004E-2</v>
      </c>
      <c r="D153" s="10">
        <v>7.6249999999999998E-2</v>
      </c>
      <c r="E153" s="10">
        <v>3.7916999999999999E-2</v>
      </c>
      <c r="F153" s="10">
        <v>5.7917000000000003E-2</v>
      </c>
      <c r="G153" s="10">
        <v>2.1666999999999999E-2</v>
      </c>
      <c r="H153" s="10">
        <v>2.4583000000000001E-2</v>
      </c>
      <c r="I153" s="10">
        <v>3.7916999999999999E-2</v>
      </c>
      <c r="J153" s="10">
        <v>3.6666999999999998E-2</v>
      </c>
      <c r="K153" s="10">
        <v>2.4167000000000001E-2</v>
      </c>
      <c r="L153" s="10">
        <v>8.6666999999999994E-2</v>
      </c>
    </row>
    <row r="154" spans="1:12" x14ac:dyDescent="0.3">
      <c r="A154" s="4">
        <v>224.99599999999995</v>
      </c>
      <c r="B154" s="4">
        <v>204.99599999999998</v>
      </c>
      <c r="C154" s="10">
        <v>0.10875</v>
      </c>
      <c r="D154" s="10">
        <v>0.106667</v>
      </c>
      <c r="E154" s="10">
        <v>7.8750000000000001E-2</v>
      </c>
      <c r="F154" s="10">
        <v>0.10041700000000001</v>
      </c>
      <c r="G154" s="10">
        <v>4.5832999999999999E-2</v>
      </c>
      <c r="H154" s="10">
        <v>4.6249999999999999E-2</v>
      </c>
      <c r="I154" s="10">
        <v>5.7083000000000002E-2</v>
      </c>
      <c r="J154" s="10">
        <v>6.4167000000000002E-2</v>
      </c>
      <c r="K154" s="10">
        <v>3.9583E-2</v>
      </c>
      <c r="L154" s="10">
        <v>0.110417</v>
      </c>
    </row>
    <row r="156" spans="1:12" x14ac:dyDescent="0.3">
      <c r="A156" s="4" t="s">
        <v>217</v>
      </c>
      <c r="B156" s="4"/>
      <c r="C156" s="4"/>
      <c r="D156" s="4"/>
      <c r="E156" s="4"/>
      <c r="F156" s="4"/>
      <c r="G156" s="4"/>
      <c r="H156" s="4"/>
      <c r="I156" s="4"/>
      <c r="J156" s="4"/>
      <c r="K156" s="4"/>
      <c r="L156" s="4"/>
    </row>
    <row r="157" spans="1:12" x14ac:dyDescent="0.3">
      <c r="A157" s="4" t="s">
        <v>103</v>
      </c>
      <c r="B157" s="4"/>
      <c r="C157" s="4">
        <v>0</v>
      </c>
      <c r="D157" s="4">
        <v>20.332999999999998</v>
      </c>
      <c r="E157" s="4">
        <v>40.665999999999997</v>
      </c>
      <c r="F157" s="4">
        <v>60.998999999999995</v>
      </c>
      <c r="G157" s="4">
        <v>81.331999999999994</v>
      </c>
      <c r="H157" s="4">
        <v>101.66499999999999</v>
      </c>
      <c r="I157" s="4">
        <v>121.99799999999999</v>
      </c>
      <c r="J157" s="4">
        <v>142.33099999999999</v>
      </c>
      <c r="K157" s="4">
        <v>162.66399999999999</v>
      </c>
      <c r="L157" s="4">
        <v>182.99699999999999</v>
      </c>
    </row>
    <row r="158" spans="1:12" x14ac:dyDescent="0.3">
      <c r="A158" s="4" t="s">
        <v>102</v>
      </c>
      <c r="B158" s="4" t="s">
        <v>218</v>
      </c>
      <c r="C158" s="4">
        <v>27</v>
      </c>
      <c r="D158" s="4">
        <v>47.332999999999998</v>
      </c>
      <c r="E158" s="4">
        <v>67.665999999999997</v>
      </c>
      <c r="F158" s="4">
        <v>87.998999999999995</v>
      </c>
      <c r="G158" s="4">
        <v>108.33199999999999</v>
      </c>
      <c r="H158" s="4">
        <v>128.66499999999999</v>
      </c>
      <c r="I158" s="4">
        <v>148.99799999999999</v>
      </c>
      <c r="J158" s="4">
        <v>169.33099999999999</v>
      </c>
      <c r="K158" s="4">
        <v>189.66399999999999</v>
      </c>
      <c r="L158" s="4">
        <v>209.99699999999999</v>
      </c>
    </row>
    <row r="159" spans="1:12" x14ac:dyDescent="0.3">
      <c r="A159" s="4">
        <v>224.99599999999995</v>
      </c>
      <c r="B159" s="4">
        <v>204.99599999999998</v>
      </c>
      <c r="C159" s="13">
        <f t="shared" ref="C159:L159" si="28">-(C99+C115)/2 + (C130+C145)/2</f>
        <v>-0.15416649999999998</v>
      </c>
      <c r="D159" s="13">
        <f t="shared" si="28"/>
        <v>-0.119167</v>
      </c>
      <c r="E159" s="13">
        <f t="shared" si="28"/>
        <v>-9.2083500000000013E-2</v>
      </c>
      <c r="F159" s="13">
        <f t="shared" si="28"/>
        <v>-7.5207999999999997E-2</v>
      </c>
      <c r="G159" s="13">
        <f t="shared" si="28"/>
        <v>-7.2291500000000009E-2</v>
      </c>
      <c r="H159" s="13">
        <f t="shared" si="28"/>
        <v>-7.6667000000000013E-2</v>
      </c>
      <c r="I159" s="13">
        <f t="shared" si="28"/>
        <v>-9.6666500000000002E-2</v>
      </c>
      <c r="J159" s="13">
        <f t="shared" si="28"/>
        <v>-0.113125</v>
      </c>
      <c r="K159" s="13">
        <f t="shared" si="28"/>
        <v>-0.1441665</v>
      </c>
      <c r="L159" s="13">
        <f t="shared" si="28"/>
        <v>-0.17416700000000002</v>
      </c>
    </row>
    <row r="160" spans="1:12" x14ac:dyDescent="0.3">
      <c r="A160" s="4">
        <v>203.55199999999996</v>
      </c>
      <c r="B160" s="4">
        <v>183.55199999999999</v>
      </c>
      <c r="C160" s="13">
        <f t="shared" ref="C160:L160" si="29">-(C100+C116)/2 + (C131+C146)/2</f>
        <v>-0.10458350000000001</v>
      </c>
      <c r="D160" s="13">
        <f t="shared" si="29"/>
        <v>-7.7707999999999999E-2</v>
      </c>
      <c r="E160" s="13">
        <f t="shared" si="29"/>
        <v>-6.2292E-2</v>
      </c>
      <c r="F160" s="13">
        <f t="shared" si="29"/>
        <v>-4.70835E-2</v>
      </c>
      <c r="G160" s="13">
        <f t="shared" si="29"/>
        <v>-4.4582999999999991E-2</v>
      </c>
      <c r="H160" s="13">
        <f t="shared" si="29"/>
        <v>-4.9999499999999995E-2</v>
      </c>
      <c r="I160" s="13">
        <f t="shared" si="29"/>
        <v>-7.0625000000000007E-2</v>
      </c>
      <c r="J160" s="13">
        <f t="shared" si="29"/>
        <v>-7.7291499999999999E-2</v>
      </c>
      <c r="K160" s="13">
        <f t="shared" si="29"/>
        <v>-0.11437549999999999</v>
      </c>
      <c r="L160" s="13">
        <f t="shared" si="29"/>
        <v>-0.14083300000000001</v>
      </c>
    </row>
    <row r="161" spans="1:12" x14ac:dyDescent="0.3">
      <c r="A161" s="4">
        <v>182.10799999999998</v>
      </c>
      <c r="B161" s="4">
        <v>162.108</v>
      </c>
      <c r="C161" s="13">
        <f t="shared" ref="C161:L161" si="30">-(C101+C117)/2 + (C132+C147)/2</f>
        <v>-6.8541500000000005E-2</v>
      </c>
      <c r="D161" s="13">
        <f t="shared" si="30"/>
        <v>-4.7291999999999994E-2</v>
      </c>
      <c r="E161" s="13">
        <f t="shared" si="30"/>
        <v>-3.3541500000000002E-2</v>
      </c>
      <c r="F161" s="13">
        <f t="shared" si="30"/>
        <v>-2.2083499999999999E-2</v>
      </c>
      <c r="G161" s="13">
        <f t="shared" si="30"/>
        <v>-2.1458000000000005E-2</v>
      </c>
      <c r="H161" s="13">
        <f t="shared" si="30"/>
        <v>-2.8750499999999998E-2</v>
      </c>
      <c r="I161" s="13">
        <f t="shared" si="30"/>
        <v>-3.562449999999999E-2</v>
      </c>
      <c r="J161" s="13">
        <f t="shared" si="30"/>
        <v>-3.2917000000000002E-2</v>
      </c>
      <c r="K161" s="13">
        <f t="shared" si="30"/>
        <v>-3.83335E-2</v>
      </c>
      <c r="L161" s="13">
        <f t="shared" si="30"/>
        <v>-6.31245E-2</v>
      </c>
    </row>
    <row r="162" spans="1:12" x14ac:dyDescent="0.3">
      <c r="A162" s="4">
        <v>160.66399999999999</v>
      </c>
      <c r="B162" s="4">
        <v>140.66400000000002</v>
      </c>
      <c r="C162" s="13">
        <f t="shared" ref="C162:L162" si="31">-(C102+C118)/2 + (C133+C148)/2</f>
        <v>-3.4583500000000017E-2</v>
      </c>
      <c r="D162" s="13">
        <f t="shared" si="31"/>
        <v>-1.7083000000000001E-2</v>
      </c>
      <c r="E162" s="13">
        <f t="shared" si="31"/>
        <v>-5.8335000000000001E-3</v>
      </c>
      <c r="F162" s="13">
        <f t="shared" si="31"/>
        <v>-8.3350000000000091E-4</v>
      </c>
      <c r="G162" s="13">
        <f t="shared" si="31"/>
        <v>-3.3334999999999997E-3</v>
      </c>
      <c r="H162" s="13">
        <f t="shared" si="31"/>
        <v>-7.4999999999999997E-3</v>
      </c>
      <c r="I162" s="13">
        <f t="shared" si="31"/>
        <v>-8.5415000000000005E-3</v>
      </c>
      <c r="J162" s="13">
        <f t="shared" si="31"/>
        <v>-1.0417000000000001E-2</v>
      </c>
      <c r="K162" s="13">
        <f t="shared" si="31"/>
        <v>2.4999999999999996E-3</v>
      </c>
      <c r="L162" s="13">
        <f t="shared" si="31"/>
        <v>-6.0415000000000052E-3</v>
      </c>
    </row>
    <row r="163" spans="1:12" x14ac:dyDescent="0.3">
      <c r="A163" s="4">
        <v>139.22</v>
      </c>
      <c r="B163" s="4">
        <v>119.22000000000001</v>
      </c>
      <c r="C163" s="13">
        <f t="shared" ref="C163:L163" si="32">-(C103+C119)/2 + (C134+C149)/2</f>
        <v>-1.916699999999999E-2</v>
      </c>
      <c r="D163" s="13">
        <f t="shared" si="32"/>
        <v>-4.1665000000000035E-3</v>
      </c>
      <c r="E163" s="13">
        <f t="shared" si="32"/>
        <v>6.8750000000000026E-3</v>
      </c>
      <c r="F163" s="13">
        <f t="shared" si="32"/>
        <v>1.1875000000000004E-2</v>
      </c>
      <c r="G163" s="13">
        <f t="shared" si="32"/>
        <v>1.1459E-2</v>
      </c>
      <c r="H163" s="13">
        <f t="shared" si="32"/>
        <v>4.3744999999999999E-3</v>
      </c>
      <c r="I163" s="13">
        <f t="shared" si="32"/>
        <v>9.7915000000000016E-3</v>
      </c>
      <c r="J163" s="13">
        <f t="shared" si="32"/>
        <v>1.125E-2</v>
      </c>
      <c r="K163" s="13">
        <f t="shared" si="32"/>
        <v>1.4999999999999999E-2</v>
      </c>
      <c r="L163" s="13">
        <f t="shared" si="32"/>
        <v>2.3540999999999999E-2</v>
      </c>
    </row>
    <row r="164" spans="1:12" x14ac:dyDescent="0.3">
      <c r="A164" s="4">
        <v>117.77600000000001</v>
      </c>
      <c r="B164" s="4">
        <v>97.77600000000001</v>
      </c>
      <c r="C164" s="13">
        <f t="shared" ref="C164:L164" si="33">-(C104+C120)/2 + (C135+C150)/2</f>
        <v>-5.8334999999999915E-3</v>
      </c>
      <c r="D164" s="13">
        <f t="shared" si="33"/>
        <v>8.1249999999999933E-3</v>
      </c>
      <c r="E164" s="13">
        <f t="shared" si="33"/>
        <v>1.4583000000000002E-2</v>
      </c>
      <c r="F164" s="13">
        <f t="shared" si="33"/>
        <v>2.1250499999999999E-2</v>
      </c>
      <c r="G164" s="13">
        <f t="shared" si="33"/>
        <v>2.1041499999999998E-2</v>
      </c>
      <c r="H164" s="13">
        <f t="shared" si="33"/>
        <v>1.5000000000000003E-2</v>
      </c>
      <c r="I164" s="13">
        <f t="shared" si="33"/>
        <v>2.0624999999999998E-2</v>
      </c>
      <c r="J164" s="13">
        <f t="shared" si="33"/>
        <v>1.9999999999999997E-2</v>
      </c>
      <c r="K164" s="13">
        <f t="shared" si="33"/>
        <v>2.8541500000000001E-2</v>
      </c>
      <c r="L164" s="13">
        <f t="shared" si="33"/>
        <v>3.3333000000000002E-2</v>
      </c>
    </row>
    <row r="165" spans="1:12" x14ac:dyDescent="0.3">
      <c r="A165" s="4">
        <v>96.332000000000008</v>
      </c>
      <c r="B165" s="4">
        <v>76.332000000000008</v>
      </c>
      <c r="C165" s="13">
        <f t="shared" ref="C165:L165" si="34">-(C105+C121)/2 + (C136+C151)/2</f>
        <v>-1.0625499999999996E-2</v>
      </c>
      <c r="D165" s="13">
        <f t="shared" si="34"/>
        <v>5.6249999999999911E-3</v>
      </c>
      <c r="E165" s="13">
        <f t="shared" si="34"/>
        <v>1.3750000000000002E-2</v>
      </c>
      <c r="F165" s="13">
        <f t="shared" si="34"/>
        <v>1.6249999999999997E-2</v>
      </c>
      <c r="G165" s="13">
        <f t="shared" si="34"/>
        <v>1.5625E-2</v>
      </c>
      <c r="H165" s="13">
        <f t="shared" si="34"/>
        <v>1.04165E-2</v>
      </c>
      <c r="I165" s="13">
        <f t="shared" si="34"/>
        <v>1.9792000000000001E-2</v>
      </c>
      <c r="J165" s="13">
        <f t="shared" si="34"/>
        <v>2.5624500000000001E-2</v>
      </c>
      <c r="K165" s="13">
        <f t="shared" si="34"/>
        <v>2.1041500000000001E-2</v>
      </c>
      <c r="L165" s="13">
        <f t="shared" si="34"/>
        <v>2.4374999999999997E-2</v>
      </c>
    </row>
    <row r="166" spans="1:12" x14ac:dyDescent="0.3">
      <c r="A166" s="4">
        <v>74.888000000000005</v>
      </c>
      <c r="B166" s="4">
        <v>54.888000000000005</v>
      </c>
      <c r="C166" s="13">
        <f t="shared" ref="C166:L166" si="35">-(C106+C122)/2 + (C137+C152)/2</f>
        <v>-1.2916499999999997E-2</v>
      </c>
      <c r="D166" s="13">
        <f t="shared" si="35"/>
        <v>2.9165000000000024E-3</v>
      </c>
      <c r="E166" s="13">
        <f t="shared" si="35"/>
        <v>1.125E-2</v>
      </c>
      <c r="F166" s="13">
        <f t="shared" si="35"/>
        <v>1.6458499999999994E-2</v>
      </c>
      <c r="G166" s="13">
        <f t="shared" si="35"/>
        <v>1.20835E-2</v>
      </c>
      <c r="H166" s="13">
        <f t="shared" si="35"/>
        <v>7.7085000000000001E-3</v>
      </c>
      <c r="I166" s="13">
        <f t="shared" si="35"/>
        <v>1.3750000000000002E-2</v>
      </c>
      <c r="J166" s="13">
        <f t="shared" si="35"/>
        <v>2.2083499999999999E-2</v>
      </c>
      <c r="K166" s="13">
        <f t="shared" si="35"/>
        <v>1.6665000000000013E-3</v>
      </c>
      <c r="L166" s="13">
        <f t="shared" si="35"/>
        <v>1.0417000000000003E-2</v>
      </c>
    </row>
    <row r="167" spans="1:12" x14ac:dyDescent="0.3">
      <c r="A167" s="4">
        <v>53.444000000000003</v>
      </c>
      <c r="B167" s="4">
        <v>33.444000000000003</v>
      </c>
      <c r="C167" s="13">
        <f t="shared" ref="C167:L167" si="36">-(C107+C123)/2 + (C138+C153)/2</f>
        <v>-2.8333499999999998E-2</v>
      </c>
      <c r="D167" s="13">
        <f t="shared" si="36"/>
        <v>-8.7500000000000008E-3</v>
      </c>
      <c r="E167" s="13">
        <f t="shared" si="36"/>
        <v>2.0834999999999985E-3</v>
      </c>
      <c r="F167" s="13">
        <f t="shared" si="36"/>
        <v>1.0208500000000002E-2</v>
      </c>
      <c r="G167" s="13">
        <f t="shared" si="36"/>
        <v>0.01</v>
      </c>
      <c r="H167" s="13">
        <f t="shared" si="36"/>
        <v>8.3330000000000001E-3</v>
      </c>
      <c r="I167" s="13">
        <f t="shared" si="36"/>
        <v>1.5207999999999999E-2</v>
      </c>
      <c r="J167" s="13">
        <f t="shared" si="36"/>
        <v>1.6250000000000001E-2</v>
      </c>
      <c r="K167" s="13">
        <f t="shared" si="36"/>
        <v>2.0800000000000159E-4</v>
      </c>
      <c r="L167" s="13">
        <f t="shared" si="36"/>
        <v>1.2499999999999997E-2</v>
      </c>
    </row>
    <row r="168" spans="1:12" x14ac:dyDescent="0.3">
      <c r="A168" s="4">
        <v>32</v>
      </c>
      <c r="B168" s="4">
        <v>12</v>
      </c>
      <c r="C168" s="13">
        <f t="shared" ref="C168:L168" si="37">-(C108+C124)/2 + (C139+C154)/2</f>
        <v>-2.9375000000000012E-2</v>
      </c>
      <c r="D168" s="13">
        <f t="shared" si="37"/>
        <v>-4.5830000000000037E-3</v>
      </c>
      <c r="E168" s="13">
        <f t="shared" si="37"/>
        <v>1.2916499999999997E-2</v>
      </c>
      <c r="F168" s="13">
        <f t="shared" si="37"/>
        <v>1.9374999999999989E-2</v>
      </c>
      <c r="G168" s="13">
        <f t="shared" si="37"/>
        <v>2.2291499999999999E-2</v>
      </c>
      <c r="H168" s="13">
        <f t="shared" si="37"/>
        <v>2.1041999999999998E-2</v>
      </c>
      <c r="I168" s="13">
        <f t="shared" si="37"/>
        <v>2.8124500000000004E-2</v>
      </c>
      <c r="J168" s="13">
        <f t="shared" si="37"/>
        <v>2.9375000000000002E-2</v>
      </c>
      <c r="K168" s="13">
        <f t="shared" si="37"/>
        <v>-1.1041499999999999E-2</v>
      </c>
      <c r="L168" s="13">
        <f t="shared" si="37"/>
        <v>1.104150000000001E-2</v>
      </c>
    </row>
    <row r="169" spans="1:12" x14ac:dyDescent="0.3">
      <c r="B169" s="4" t="s">
        <v>218</v>
      </c>
      <c r="C169" s="4">
        <v>27</v>
      </c>
      <c r="D169" s="4">
        <v>47.332999999999998</v>
      </c>
      <c r="E169" s="4">
        <v>67.665999999999997</v>
      </c>
      <c r="F169" s="4">
        <v>87.998999999999995</v>
      </c>
      <c r="G169" s="4">
        <v>108.33199999999999</v>
      </c>
      <c r="H169" s="4">
        <v>128.66499999999999</v>
      </c>
      <c r="I169" s="4">
        <v>148.99799999999999</v>
      </c>
      <c r="J169" s="4">
        <v>169.33099999999999</v>
      </c>
      <c r="K169" s="4">
        <v>189.66399999999999</v>
      </c>
      <c r="L169" s="4">
        <v>209.99699999999999</v>
      </c>
    </row>
    <row r="173" spans="1:12" x14ac:dyDescent="0.3">
      <c r="A173" s="20" t="s">
        <v>225</v>
      </c>
    </row>
    <row r="174" spans="1:12" x14ac:dyDescent="0.3">
      <c r="A174" t="s">
        <v>103</v>
      </c>
      <c r="C174">
        <v>0</v>
      </c>
      <c r="D174">
        <v>20.332999999999998</v>
      </c>
      <c r="E174">
        <v>40.665999999999997</v>
      </c>
      <c r="F174">
        <v>60.998999999999995</v>
      </c>
      <c r="G174">
        <v>81.331999999999994</v>
      </c>
      <c r="H174">
        <v>101.66499999999999</v>
      </c>
      <c r="I174">
        <v>121.99799999999999</v>
      </c>
      <c r="J174">
        <v>142.33099999999999</v>
      </c>
      <c r="K174">
        <v>162.66399999999999</v>
      </c>
      <c r="L174">
        <v>182.99699999999999</v>
      </c>
    </row>
    <row r="175" spans="1:12" x14ac:dyDescent="0.3">
      <c r="A175" t="s">
        <v>102</v>
      </c>
      <c r="B175" t="s">
        <v>226</v>
      </c>
      <c r="C175">
        <v>27</v>
      </c>
      <c r="D175">
        <v>47.332999999999998</v>
      </c>
      <c r="E175">
        <v>67.665999999999997</v>
      </c>
      <c r="F175">
        <v>87.998999999999995</v>
      </c>
      <c r="G175">
        <v>108.33199999999999</v>
      </c>
      <c r="H175">
        <v>128.66499999999999</v>
      </c>
      <c r="I175">
        <v>148.99799999999999</v>
      </c>
      <c r="J175">
        <v>169.33099999999999</v>
      </c>
      <c r="K175">
        <v>189.66399999999999</v>
      </c>
      <c r="L175">
        <v>209.99699999999999</v>
      </c>
    </row>
    <row r="176" spans="1:12" x14ac:dyDescent="0.3">
      <c r="A176">
        <v>32</v>
      </c>
      <c r="B176">
        <v>12</v>
      </c>
      <c r="C176" s="13">
        <f>-0.046667</f>
        <v>-4.6667E-2</v>
      </c>
      <c r="D176" s="13">
        <v>-5.5417000000000001E-2</v>
      </c>
      <c r="E176" s="13">
        <v>-0.110833</v>
      </c>
      <c r="F176" s="13">
        <v>-9.7917000000000004E-2</v>
      </c>
      <c r="G176" s="13">
        <v>-0.13291700000000001</v>
      </c>
      <c r="H176" s="13">
        <v>-0.12625</v>
      </c>
      <c r="I176" s="13">
        <v>-0.13666700000000001</v>
      </c>
      <c r="J176" s="13">
        <v>-0.108333</v>
      </c>
      <c r="K176" s="13">
        <v>-9.4583E-2</v>
      </c>
      <c r="L176" s="13">
        <v>-9.8750000000000004E-2</v>
      </c>
    </row>
    <row r="177" spans="1:12" x14ac:dyDescent="0.3">
      <c r="A177">
        <v>53.444000000000003</v>
      </c>
      <c r="B177">
        <v>33.444000000000003</v>
      </c>
      <c r="C177" s="13">
        <f>-0.025417</f>
        <v>-2.5416999999999999E-2</v>
      </c>
      <c r="D177" s="13">
        <v>-2.6667E-2</v>
      </c>
      <c r="E177" s="13">
        <v>-8.5833000000000007E-2</v>
      </c>
      <c r="F177" s="13">
        <v>-7.3749999999999996E-2</v>
      </c>
      <c r="G177" s="13">
        <v>-9.8750000000000004E-2</v>
      </c>
      <c r="H177" s="13">
        <v>-9.0416999999999997E-2</v>
      </c>
      <c r="I177" s="13">
        <v>-0.10166699999999999</v>
      </c>
      <c r="J177" s="13">
        <v>-7.0000000000000007E-2</v>
      </c>
      <c r="K177" s="13">
        <v>-6.2082999999999999E-2</v>
      </c>
      <c r="L177" s="13">
        <v>-7.5416999999999998E-2</v>
      </c>
    </row>
    <row r="178" spans="1:12" x14ac:dyDescent="0.3">
      <c r="A178">
        <v>74.888000000000005</v>
      </c>
      <c r="B178">
        <v>54.888000000000005</v>
      </c>
      <c r="C178" s="13">
        <v>2.8750000000000001E-2</v>
      </c>
      <c r="D178" s="13">
        <v>3.0832999999999999E-2</v>
      </c>
      <c r="E178" s="13">
        <v>-2.5416999999999999E-2</v>
      </c>
      <c r="F178" s="13">
        <v>-2.6249999999999999E-2</v>
      </c>
      <c r="G178" s="13">
        <v>-5.5417000000000001E-2</v>
      </c>
      <c r="H178" s="13">
        <v>-3.5832999999999997E-2</v>
      </c>
      <c r="I178" s="13">
        <v>-4.6249999999999999E-2</v>
      </c>
      <c r="J178" s="13">
        <v>-1.375E-2</v>
      </c>
      <c r="K178" s="13">
        <v>-1.4167000000000001E-2</v>
      </c>
      <c r="L178" s="13">
        <v>-1.4999999999999999E-2</v>
      </c>
    </row>
    <row r="179" spans="1:12" x14ac:dyDescent="0.3">
      <c r="A179">
        <v>96.332000000000008</v>
      </c>
      <c r="B179">
        <v>76.332000000000008</v>
      </c>
      <c r="C179" s="13">
        <v>5.4583E-2</v>
      </c>
      <c r="D179" s="13">
        <v>4.5832999999999999E-2</v>
      </c>
      <c r="E179" s="13">
        <v>4.1669999999999997E-3</v>
      </c>
      <c r="F179" s="13">
        <v>9.1669999999999998E-3</v>
      </c>
      <c r="G179" s="13">
        <v>-2.4167000000000001E-2</v>
      </c>
      <c r="H179" s="13">
        <v>-3.0417E-2</v>
      </c>
      <c r="I179" s="13">
        <v>-1.4167000000000001E-2</v>
      </c>
      <c r="J179" s="13">
        <v>4.17E-4</v>
      </c>
      <c r="K179" s="13">
        <v>-2.9169999999999999E-3</v>
      </c>
      <c r="L179" s="13">
        <v>2.375E-2</v>
      </c>
    </row>
    <row r="180" spans="1:12" x14ac:dyDescent="0.3">
      <c r="A180">
        <v>117.77600000000001</v>
      </c>
      <c r="B180">
        <v>97.77600000000001</v>
      </c>
      <c r="C180" s="13">
        <v>7.1249999999999994E-2</v>
      </c>
      <c r="D180" s="13">
        <v>6.6250000000000003E-2</v>
      </c>
      <c r="E180" s="13">
        <v>2.5832999999999998E-2</v>
      </c>
      <c r="F180" s="13">
        <v>2.8750000000000001E-2</v>
      </c>
      <c r="G180" s="13">
        <v>-1.5833E-2</v>
      </c>
      <c r="H180" s="13">
        <v>-1.7916999999999999E-2</v>
      </c>
      <c r="I180" s="13">
        <v>-0.01</v>
      </c>
      <c r="J180" s="13">
        <v>7.4999999999999997E-3</v>
      </c>
      <c r="K180" s="13">
        <v>-1.4167000000000001E-2</v>
      </c>
      <c r="L180" s="13">
        <v>3.0417E-2</v>
      </c>
    </row>
    <row r="181" spans="1:12" x14ac:dyDescent="0.3">
      <c r="A181">
        <v>139.22</v>
      </c>
      <c r="B181">
        <v>119.22000000000001</v>
      </c>
      <c r="C181" s="13">
        <v>9.1666999999999998E-2</v>
      </c>
      <c r="D181" s="13">
        <v>7.8750000000000001E-2</v>
      </c>
      <c r="E181" s="13">
        <v>3.6249999999999998E-2</v>
      </c>
      <c r="F181" s="13">
        <v>3.2500000000000001E-2</v>
      </c>
      <c r="G181" s="13">
        <v>-2.1666999999999999E-2</v>
      </c>
      <c r="H181" s="13">
        <v>-1.1667E-2</v>
      </c>
      <c r="I181" s="13">
        <v>-7.9170000000000004E-3</v>
      </c>
      <c r="J181" s="13">
        <v>-5.4169999999999999E-3</v>
      </c>
      <c r="K181" s="13">
        <v>-8.7500000000000008E-3</v>
      </c>
      <c r="L181" s="13">
        <v>2.8750000000000001E-2</v>
      </c>
    </row>
    <row r="182" spans="1:12" x14ac:dyDescent="0.3">
      <c r="A182">
        <v>160.66399999999999</v>
      </c>
      <c r="B182">
        <v>140.66400000000002</v>
      </c>
      <c r="C182" s="13">
        <v>8.1250000000000003E-2</v>
      </c>
      <c r="D182" s="13">
        <v>7.7082999999999999E-2</v>
      </c>
      <c r="E182" s="13">
        <v>3.3333000000000002E-2</v>
      </c>
      <c r="F182" s="13">
        <v>3.7916999999999999E-2</v>
      </c>
      <c r="G182" s="13">
        <v>-1.25E-3</v>
      </c>
      <c r="H182" s="13">
        <v>-3.333E-3</v>
      </c>
      <c r="I182" s="13">
        <v>5.4169999999999999E-3</v>
      </c>
      <c r="J182" s="13">
        <v>-2.5000000000000001E-3</v>
      </c>
      <c r="K182" s="13">
        <v>-1.5417E-2</v>
      </c>
      <c r="L182" s="13">
        <v>2.7917000000000001E-2</v>
      </c>
    </row>
    <row r="183" spans="1:12" x14ac:dyDescent="0.3">
      <c r="A183">
        <v>182.10799999999998</v>
      </c>
      <c r="B183">
        <v>162.108</v>
      </c>
      <c r="C183" s="13">
        <v>8.5000000000000006E-2</v>
      </c>
      <c r="D183" s="13">
        <v>7.2499999999999995E-2</v>
      </c>
      <c r="E183" s="13">
        <v>2.8333000000000001E-2</v>
      </c>
      <c r="F183" s="13">
        <v>4.1667000000000003E-2</v>
      </c>
      <c r="G183" s="13">
        <v>8.7500000000000008E-3</v>
      </c>
      <c r="H183" s="13">
        <v>4.5830000000000003E-3</v>
      </c>
      <c r="I183" s="13">
        <v>-5.0000000000000001E-3</v>
      </c>
      <c r="J183" s="13">
        <v>7.4999999999999997E-3</v>
      </c>
      <c r="K183" s="13">
        <v>-9.1669999999999998E-3</v>
      </c>
      <c r="L183" s="13">
        <v>0.03</v>
      </c>
    </row>
    <row r="184" spans="1:12" x14ac:dyDescent="0.3">
      <c r="A184">
        <v>203.55199999999996</v>
      </c>
      <c r="B184">
        <v>183.55199999999999</v>
      </c>
      <c r="C184" s="13">
        <v>4.9583000000000002E-2</v>
      </c>
      <c r="D184" s="13">
        <v>4.7917000000000001E-2</v>
      </c>
      <c r="E184" s="13">
        <v>1.3332999999999999E-2</v>
      </c>
      <c r="F184" s="13">
        <v>3.5832999999999997E-2</v>
      </c>
      <c r="G184" s="13">
        <v>5.0000000000000001E-3</v>
      </c>
      <c r="H184" s="13">
        <v>1.0416999999999999E-2</v>
      </c>
      <c r="I184" s="13">
        <v>1.7500000000000002E-2</v>
      </c>
      <c r="J184" s="13">
        <v>1.2917E-2</v>
      </c>
      <c r="K184" s="13">
        <v>-4.1669999999999997E-3</v>
      </c>
      <c r="L184" s="13">
        <v>5.2499999999999998E-2</v>
      </c>
    </row>
    <row r="185" spans="1:12" x14ac:dyDescent="0.3">
      <c r="A185">
        <v>224.99599999999995</v>
      </c>
      <c r="B185">
        <v>204.99599999999998</v>
      </c>
      <c r="C185" s="13">
        <v>7.4999999999999997E-2</v>
      </c>
      <c r="D185" s="13">
        <v>7.1249999999999994E-2</v>
      </c>
      <c r="E185" s="13">
        <v>4.4999999999999998E-2</v>
      </c>
      <c r="F185" s="13">
        <v>7.4582999999999997E-2</v>
      </c>
      <c r="G185" s="13">
        <v>2.1666999999999999E-2</v>
      </c>
      <c r="H185" s="13">
        <v>2.4583000000000001E-2</v>
      </c>
      <c r="I185" s="13">
        <v>2.1666999999999999E-2</v>
      </c>
      <c r="J185" s="13">
        <v>1.4583E-2</v>
      </c>
      <c r="K185" s="13">
        <v>7.4999999999999997E-3</v>
      </c>
      <c r="L185" s="13">
        <v>0.06</v>
      </c>
    </row>
    <row r="188" spans="1:12" x14ac:dyDescent="0.3">
      <c r="A188" t="s">
        <v>228</v>
      </c>
    </row>
    <row r="189" spans="1:12" x14ac:dyDescent="0.3">
      <c r="A189" t="s">
        <v>103</v>
      </c>
      <c r="C189">
        <v>0</v>
      </c>
      <c r="D189">
        <v>20.332999999999998</v>
      </c>
      <c r="E189">
        <v>40.665999999999997</v>
      </c>
      <c r="F189">
        <v>60.998999999999995</v>
      </c>
      <c r="G189">
        <v>81.331999999999994</v>
      </c>
      <c r="H189">
        <v>101.66499999999999</v>
      </c>
      <c r="I189">
        <v>121.99799999999999</v>
      </c>
      <c r="J189">
        <v>142.33099999999999</v>
      </c>
      <c r="K189">
        <v>162.66399999999999</v>
      </c>
      <c r="L189">
        <v>182.99699999999999</v>
      </c>
    </row>
    <row r="190" spans="1:12" x14ac:dyDescent="0.3">
      <c r="A190" t="s">
        <v>102</v>
      </c>
      <c r="B190" t="s">
        <v>226</v>
      </c>
      <c r="C190">
        <v>27</v>
      </c>
      <c r="D190">
        <v>47.332999999999998</v>
      </c>
      <c r="E190">
        <v>67.665999999999997</v>
      </c>
      <c r="F190">
        <v>87.998999999999995</v>
      </c>
      <c r="G190">
        <v>108.33199999999999</v>
      </c>
      <c r="H190">
        <v>128.66499999999999</v>
      </c>
      <c r="I190">
        <v>148.99799999999999</v>
      </c>
      <c r="J190">
        <v>169.33099999999999</v>
      </c>
      <c r="K190">
        <v>189.66399999999999</v>
      </c>
      <c r="L190">
        <v>209.99699999999999</v>
      </c>
    </row>
    <row r="191" spans="1:12" x14ac:dyDescent="0.3">
      <c r="A191">
        <v>32</v>
      </c>
      <c r="B191">
        <v>12</v>
      </c>
      <c r="C191" s="13">
        <f>(C130+C145)/2 -C176</f>
        <v>4.64585E-2</v>
      </c>
      <c r="D191" s="13">
        <f t="shared" ref="D191:L191" si="38">(D130+D145)/2 -D176</f>
        <v>3.3333500000000002E-2</v>
      </c>
      <c r="E191" s="13">
        <f t="shared" si="38"/>
        <v>2.6457999999999995E-2</v>
      </c>
      <c r="F191" s="13">
        <f t="shared" si="38"/>
        <v>2.3125500000000007E-2</v>
      </c>
      <c r="G191" s="13">
        <f t="shared" si="38"/>
        <v>2.1875500000000006E-2</v>
      </c>
      <c r="H191" s="13">
        <f t="shared" si="38"/>
        <v>2.8541499999999997E-2</v>
      </c>
      <c r="I191" s="13">
        <f t="shared" si="38"/>
        <v>2.687550000000001E-2</v>
      </c>
      <c r="J191" s="13">
        <f t="shared" si="38"/>
        <v>1.5207999999999999E-2</v>
      </c>
      <c r="K191" s="13">
        <f t="shared" si="38"/>
        <v>-7.2920000000000068E-3</v>
      </c>
      <c r="L191" s="13">
        <f t="shared" si="38"/>
        <v>5.625000000000005E-3</v>
      </c>
    </row>
    <row r="192" spans="1:12" x14ac:dyDescent="0.3">
      <c r="A192">
        <v>53.444000000000003</v>
      </c>
      <c r="B192">
        <v>33.444000000000003</v>
      </c>
      <c r="C192" s="13">
        <f t="shared" ref="C192:L200" si="39">(C131+C146)/2 -C177</f>
        <v>2.0833499999999998E-2</v>
      </c>
      <c r="D192" s="13">
        <f t="shared" si="39"/>
        <v>1.2084000000000001E-2</v>
      </c>
      <c r="E192" s="13">
        <f t="shared" si="39"/>
        <v>1.0833000000000009E-2</v>
      </c>
      <c r="F192" s="13">
        <f t="shared" si="39"/>
        <v>1.1874999999999997E-2</v>
      </c>
      <c r="G192" s="13">
        <f t="shared" si="39"/>
        <v>1.5208500000000014E-2</v>
      </c>
      <c r="H192" s="13">
        <f t="shared" si="39"/>
        <v>1.8959000000000004E-2</v>
      </c>
      <c r="I192" s="13">
        <f t="shared" si="39"/>
        <v>1.2083499999999983E-2</v>
      </c>
      <c r="J192" s="13">
        <f t="shared" si="39"/>
        <v>3.9585000000000037E-3</v>
      </c>
      <c r="K192" s="13">
        <f t="shared" si="39"/>
        <v>-3.06255E-2</v>
      </c>
      <c r="L192" s="13">
        <f t="shared" si="39"/>
        <v>-2.3749500000000007E-2</v>
      </c>
    </row>
    <row r="193" spans="1:12" x14ac:dyDescent="0.3">
      <c r="A193">
        <v>74.888000000000005</v>
      </c>
      <c r="B193">
        <v>54.888000000000005</v>
      </c>
      <c r="C193" s="13">
        <f t="shared" si="39"/>
        <v>1.1667E-2</v>
      </c>
      <c r="D193" s="13">
        <f t="shared" si="39"/>
        <v>9.5835000000000017E-3</v>
      </c>
      <c r="E193" s="13">
        <f t="shared" si="39"/>
        <v>5.4169999999999982E-3</v>
      </c>
      <c r="F193" s="13">
        <f t="shared" si="39"/>
        <v>6.6664999999999988E-3</v>
      </c>
      <c r="G193" s="13">
        <f t="shared" si="39"/>
        <v>2.5004999999999958E-3</v>
      </c>
      <c r="H193" s="13">
        <f t="shared" si="39"/>
        <v>-9.3755000000000019E-3</v>
      </c>
      <c r="I193" s="13">
        <f t="shared" si="39"/>
        <v>-9.1664999999999941E-3</v>
      </c>
      <c r="J193" s="13">
        <f t="shared" si="39"/>
        <v>-1.7083500000000001E-2</v>
      </c>
      <c r="K193" s="13">
        <f t="shared" si="39"/>
        <v>-1.7291500000000001E-2</v>
      </c>
      <c r="L193" s="13">
        <f t="shared" si="39"/>
        <v>-2.0833000000000004E-2</v>
      </c>
    </row>
    <row r="194" spans="1:12" x14ac:dyDescent="0.3">
      <c r="A194">
        <v>96.332000000000008</v>
      </c>
      <c r="B194">
        <v>76.332000000000008</v>
      </c>
      <c r="C194" s="13">
        <f t="shared" si="39"/>
        <v>1.6669999999999949E-3</v>
      </c>
      <c r="D194" s="13">
        <f t="shared" si="39"/>
        <v>1.2505000000000016E-3</v>
      </c>
      <c r="E194" s="13">
        <f t="shared" si="39"/>
        <v>-4.9999999999963268E-7</v>
      </c>
      <c r="F194" s="13">
        <f t="shared" si="39"/>
        <v>1.4579999999999992E-3</v>
      </c>
      <c r="G194" s="13">
        <f t="shared" si="39"/>
        <v>-3.3329999999999992E-3</v>
      </c>
      <c r="H194" s="13">
        <f t="shared" si="39"/>
        <v>7.7085000000000001E-3</v>
      </c>
      <c r="I194" s="13">
        <f t="shared" si="39"/>
        <v>-1.8333000000000002E-2</v>
      </c>
      <c r="J194" s="13">
        <f t="shared" si="39"/>
        <v>-1.2500500000000001E-2</v>
      </c>
      <c r="K194" s="13">
        <f t="shared" si="39"/>
        <v>8.3349999999999961E-4</v>
      </c>
      <c r="L194" s="13">
        <f t="shared" si="39"/>
        <v>6.2499999999999986E-3</v>
      </c>
    </row>
    <row r="195" spans="1:12" x14ac:dyDescent="0.3">
      <c r="A195">
        <v>117.77600000000001</v>
      </c>
      <c r="B195">
        <v>97.77600000000001</v>
      </c>
      <c r="C195" s="13">
        <f t="shared" si="39"/>
        <v>-2.7084999999999887E-3</v>
      </c>
      <c r="D195" s="13">
        <f t="shared" si="39"/>
        <v>-6.2500000000000056E-4</v>
      </c>
      <c r="E195" s="13">
        <f t="shared" si="39"/>
        <v>-1.2494999999999971E-3</v>
      </c>
      <c r="F195" s="13">
        <f t="shared" si="39"/>
        <v>-1.458499999999998E-3</v>
      </c>
      <c r="G195" s="13">
        <f t="shared" si="39"/>
        <v>0</v>
      </c>
      <c r="H195" s="13">
        <f t="shared" si="39"/>
        <v>-1.2500000000000011E-3</v>
      </c>
      <c r="I195" s="13">
        <f t="shared" si="39"/>
        <v>-1.375E-2</v>
      </c>
      <c r="J195" s="13">
        <f t="shared" si="39"/>
        <v>-1.1875E-2</v>
      </c>
      <c r="K195" s="13">
        <f t="shared" si="39"/>
        <v>5.8335000000000001E-3</v>
      </c>
      <c r="L195" s="13">
        <f t="shared" si="39"/>
        <v>1.1666000000000003E-2</v>
      </c>
    </row>
    <row r="196" spans="1:12" x14ac:dyDescent="0.3">
      <c r="A196">
        <v>139.22</v>
      </c>
      <c r="B196">
        <v>119.22000000000001</v>
      </c>
      <c r="C196" s="13">
        <f t="shared" si="39"/>
        <v>-5.0004999999999911E-3</v>
      </c>
      <c r="D196" s="13">
        <f t="shared" si="39"/>
        <v>-2.5000000000000022E-3</v>
      </c>
      <c r="E196" s="13">
        <f t="shared" si="39"/>
        <v>-6.0419999999999953E-3</v>
      </c>
      <c r="F196" s="13">
        <f t="shared" si="39"/>
        <v>-1.6665000000000013E-3</v>
      </c>
      <c r="G196" s="13">
        <f t="shared" si="39"/>
        <v>-2.0830000000000015E-3</v>
      </c>
      <c r="H196" s="13">
        <f t="shared" si="39"/>
        <v>-8.9580000000000007E-3</v>
      </c>
      <c r="I196" s="13">
        <f t="shared" si="39"/>
        <v>-1.0833000000000002E-2</v>
      </c>
      <c r="J196" s="13">
        <f t="shared" si="39"/>
        <v>4.7919999999999994E-3</v>
      </c>
      <c r="K196" s="13">
        <f t="shared" si="39"/>
        <v>9.166500000000001E-3</v>
      </c>
      <c r="L196" s="13">
        <f t="shared" si="39"/>
        <v>1.8957999999999999E-2</v>
      </c>
    </row>
    <row r="197" spans="1:12" x14ac:dyDescent="0.3">
      <c r="A197">
        <v>160.66399999999999</v>
      </c>
      <c r="B197">
        <v>140.66400000000002</v>
      </c>
      <c r="C197" s="13">
        <f t="shared" si="39"/>
        <v>-2.0850000000000035E-4</v>
      </c>
      <c r="D197" s="13">
        <f t="shared" si="39"/>
        <v>2.083500000000002E-3</v>
      </c>
      <c r="E197" s="13">
        <f t="shared" si="39"/>
        <v>-6.2450000000000006E-4</v>
      </c>
      <c r="F197" s="13">
        <f t="shared" si="39"/>
        <v>-1.0420000000000013E-3</v>
      </c>
      <c r="G197" s="13">
        <f t="shared" si="39"/>
        <v>-4.7919999999999994E-3</v>
      </c>
      <c r="H197" s="13">
        <f t="shared" si="39"/>
        <v>-3.334000000000001E-3</v>
      </c>
      <c r="I197" s="13">
        <f t="shared" si="39"/>
        <v>-1.6042000000000001E-2</v>
      </c>
      <c r="J197" s="13">
        <f t="shared" si="39"/>
        <v>4.7915000000000006E-3</v>
      </c>
      <c r="K197" s="13">
        <f t="shared" si="39"/>
        <v>1.2292000000000001E-2</v>
      </c>
      <c r="L197" s="13">
        <f t="shared" si="39"/>
        <v>1.7499499999999998E-2</v>
      </c>
    </row>
    <row r="198" spans="1:12" x14ac:dyDescent="0.3">
      <c r="A198">
        <v>182.10799999999998</v>
      </c>
      <c r="B198">
        <v>162.108</v>
      </c>
      <c r="C198" s="13">
        <f t="shared" si="39"/>
        <v>-4.3750000000000039E-3</v>
      </c>
      <c r="D198" s="13">
        <f t="shared" si="39"/>
        <v>-2.7084999999999887E-3</v>
      </c>
      <c r="E198" s="13">
        <f t="shared" si="39"/>
        <v>-1.458000000000001E-3</v>
      </c>
      <c r="F198" s="13">
        <f t="shared" si="39"/>
        <v>-8.3350000000000785E-4</v>
      </c>
      <c r="G198" s="13">
        <f t="shared" si="39"/>
        <v>-6.4580000000000011E-3</v>
      </c>
      <c r="H198" s="13">
        <f t="shared" si="39"/>
        <v>-5.4160000000000007E-3</v>
      </c>
      <c r="I198" s="13">
        <f t="shared" si="39"/>
        <v>-5.2084999999999987E-3</v>
      </c>
      <c r="J198" s="13">
        <f t="shared" si="39"/>
        <v>1.8749999999999999E-3</v>
      </c>
      <c r="K198" s="13">
        <f t="shared" si="39"/>
        <v>2.9170000000000012E-3</v>
      </c>
      <c r="L198" s="13">
        <f t="shared" si="39"/>
        <v>1.3125000000000005E-2</v>
      </c>
    </row>
    <row r="199" spans="1:12" x14ac:dyDescent="0.3">
      <c r="A199">
        <v>203.55199999999996</v>
      </c>
      <c r="B199">
        <v>183.55199999999999</v>
      </c>
      <c r="C199" s="13">
        <f t="shared" si="39"/>
        <v>1.0420000000000013E-3</v>
      </c>
      <c r="D199" s="13">
        <f t="shared" si="39"/>
        <v>8.3300000000000041E-4</v>
      </c>
      <c r="E199" s="13">
        <f t="shared" si="39"/>
        <v>5.0000000000050004E-7</v>
      </c>
      <c r="F199" s="13">
        <f t="shared" si="39"/>
        <v>-1.8744999999999942E-3</v>
      </c>
      <c r="G199" s="13">
        <f t="shared" si="39"/>
        <v>-3.7500000000000007E-3</v>
      </c>
      <c r="H199" s="13">
        <f t="shared" si="39"/>
        <v>-8.125499999999999E-3</v>
      </c>
      <c r="I199" s="13">
        <f t="shared" si="39"/>
        <v>-1.8750000000000003E-2</v>
      </c>
      <c r="J199" s="13">
        <f t="shared" si="39"/>
        <v>-3.9585000000000002E-3</v>
      </c>
      <c r="K199" s="13">
        <f t="shared" si="39"/>
        <v>-1.4579999999999984E-3</v>
      </c>
      <c r="L199" s="13">
        <f t="shared" si="39"/>
        <v>7.9170000000000004E-3</v>
      </c>
    </row>
    <row r="200" spans="1:12" x14ac:dyDescent="0.3">
      <c r="A200">
        <v>224.99599999999995</v>
      </c>
      <c r="B200">
        <v>204.99599999999998</v>
      </c>
      <c r="C200" s="13">
        <f t="shared" si="39"/>
        <v>-2.083500000000002E-3</v>
      </c>
      <c r="D200" s="13">
        <f t="shared" si="39"/>
        <v>1.0420000000000013E-3</v>
      </c>
      <c r="E200" s="13">
        <f t="shared" si="39"/>
        <v>5.0000000000000044E-3</v>
      </c>
      <c r="F200" s="13">
        <f t="shared" si="39"/>
        <v>-2.4995000000000017E-3</v>
      </c>
      <c r="G200" s="13">
        <f t="shared" si="39"/>
        <v>-1.4589999999999985E-3</v>
      </c>
      <c r="H200" s="13">
        <f t="shared" si="39"/>
        <v>-6.8745000000000021E-3</v>
      </c>
      <c r="I200" s="13">
        <f t="shared" si="39"/>
        <v>-6.2504999999999974E-3</v>
      </c>
      <c r="J200" s="13">
        <f t="shared" si="39"/>
        <v>1.3542E-2</v>
      </c>
      <c r="K200" s="13">
        <f t="shared" si="39"/>
        <v>-1.7083499999999998E-2</v>
      </c>
      <c r="L200" s="13">
        <f t="shared" si="39"/>
        <v>1.2708500000000011E-2</v>
      </c>
    </row>
    <row r="205" spans="1:12" x14ac:dyDescent="0.3">
      <c r="A205">
        <f>-0.046667</f>
        <v>-4.6667E-2</v>
      </c>
      <c r="B205">
        <v>-5.5417000000000001E-2</v>
      </c>
      <c r="C205">
        <v>-0.110833</v>
      </c>
      <c r="D205">
        <v>-9.7917000000000004E-2</v>
      </c>
      <c r="E205">
        <v>-0.13291700000000001</v>
      </c>
      <c r="F205">
        <v>-0.12625</v>
      </c>
      <c r="G205">
        <v>-0.13666700000000001</v>
      </c>
      <c r="H205">
        <v>-0.108333</v>
      </c>
      <c r="I205">
        <v>-9.4583E-2</v>
      </c>
      <c r="J205">
        <v>-9.8750000000000004E-2</v>
      </c>
    </row>
    <row r="206" spans="1:12" x14ac:dyDescent="0.3">
      <c r="A206">
        <f>-0.025417</f>
        <v>-2.5416999999999999E-2</v>
      </c>
      <c r="B206">
        <v>-2.6667E-2</v>
      </c>
      <c r="C206">
        <v>-8.5833000000000007E-2</v>
      </c>
      <c r="D206">
        <v>-7.3749999999999996E-2</v>
      </c>
      <c r="E206">
        <v>-9.8750000000000004E-2</v>
      </c>
      <c r="F206">
        <v>-9.0416999999999997E-2</v>
      </c>
      <c r="G206">
        <v>-0.10166699999999999</v>
      </c>
      <c r="H206">
        <v>-7.0000000000000007E-2</v>
      </c>
      <c r="I206">
        <v>-6.2082999999999999E-2</v>
      </c>
      <c r="J206">
        <v>-7.5416999999999998E-2</v>
      </c>
    </row>
    <row r="207" spans="1:12" x14ac:dyDescent="0.3">
      <c r="A207">
        <v>2.8750000000000001E-2</v>
      </c>
      <c r="B207">
        <v>3.0832999999999999E-2</v>
      </c>
      <c r="C207">
        <v>-2.5416999999999999E-2</v>
      </c>
      <c r="D207">
        <v>-2.6249999999999999E-2</v>
      </c>
      <c r="E207">
        <v>-5.5417000000000001E-2</v>
      </c>
      <c r="F207">
        <v>-3.5832999999999997E-2</v>
      </c>
      <c r="G207">
        <v>-4.6249999999999999E-2</v>
      </c>
      <c r="H207">
        <v>-1.375E-2</v>
      </c>
      <c r="I207">
        <v>-1.4167000000000001E-2</v>
      </c>
      <c r="J207">
        <v>-1.4999999999999999E-2</v>
      </c>
    </row>
    <row r="208" spans="1:12" x14ac:dyDescent="0.3">
      <c r="A208">
        <v>5.4583E-2</v>
      </c>
      <c r="B208">
        <v>4.5832999999999999E-2</v>
      </c>
      <c r="C208">
        <v>4.1669999999999997E-3</v>
      </c>
      <c r="D208">
        <v>9.1669999999999998E-3</v>
      </c>
      <c r="E208">
        <v>-2.4167000000000001E-2</v>
      </c>
      <c r="F208">
        <v>-3.0417E-2</v>
      </c>
      <c r="G208">
        <v>-1.4167000000000001E-2</v>
      </c>
      <c r="H208">
        <v>4.17E-4</v>
      </c>
      <c r="I208">
        <v>-2.9169999999999999E-3</v>
      </c>
      <c r="J208">
        <v>2.375E-2</v>
      </c>
    </row>
    <row r="209" spans="1:10" x14ac:dyDescent="0.3">
      <c r="A209">
        <v>7.1249999999999994E-2</v>
      </c>
      <c r="B209">
        <v>6.6250000000000003E-2</v>
      </c>
      <c r="C209">
        <v>2.5832999999999998E-2</v>
      </c>
      <c r="D209">
        <v>2.8750000000000001E-2</v>
      </c>
      <c r="E209">
        <v>-1.5833E-2</v>
      </c>
      <c r="F209">
        <v>-1.7916999999999999E-2</v>
      </c>
      <c r="G209">
        <v>-0.01</v>
      </c>
      <c r="H209">
        <v>7.4999999999999997E-3</v>
      </c>
      <c r="I209">
        <v>-1.4167000000000001E-2</v>
      </c>
      <c r="J209">
        <v>3.0417E-2</v>
      </c>
    </row>
    <row r="210" spans="1:10" x14ac:dyDescent="0.3">
      <c r="A210">
        <v>9.1666999999999998E-2</v>
      </c>
      <c r="B210">
        <v>7.8750000000000001E-2</v>
      </c>
      <c r="C210">
        <v>3.6249999999999998E-2</v>
      </c>
      <c r="D210">
        <v>3.2500000000000001E-2</v>
      </c>
      <c r="E210">
        <v>-2.1666999999999999E-2</v>
      </c>
      <c r="F210">
        <v>-1.1667E-2</v>
      </c>
      <c r="G210">
        <v>-7.9170000000000004E-3</v>
      </c>
      <c r="H210">
        <v>-5.4169999999999999E-3</v>
      </c>
      <c r="I210">
        <v>-8.7500000000000008E-3</v>
      </c>
      <c r="J210">
        <v>2.8750000000000001E-2</v>
      </c>
    </row>
    <row r="211" spans="1:10" x14ac:dyDescent="0.3">
      <c r="A211">
        <v>8.1250000000000003E-2</v>
      </c>
      <c r="B211">
        <v>7.7082999999999999E-2</v>
      </c>
      <c r="C211">
        <v>3.3333000000000002E-2</v>
      </c>
      <c r="D211">
        <v>3.7916999999999999E-2</v>
      </c>
      <c r="E211">
        <v>-1.25E-3</v>
      </c>
      <c r="F211">
        <v>-3.333E-3</v>
      </c>
      <c r="G211">
        <v>5.4169999999999999E-3</v>
      </c>
      <c r="H211">
        <v>-2.5000000000000001E-3</v>
      </c>
      <c r="I211">
        <v>-1.5417E-2</v>
      </c>
      <c r="J211">
        <v>2.7917000000000001E-2</v>
      </c>
    </row>
    <row r="212" spans="1:10" x14ac:dyDescent="0.3">
      <c r="A212">
        <v>8.5000000000000006E-2</v>
      </c>
      <c r="B212">
        <v>7.2499999999999995E-2</v>
      </c>
      <c r="C212">
        <v>2.8333000000000001E-2</v>
      </c>
      <c r="D212">
        <v>4.1667000000000003E-2</v>
      </c>
      <c r="E212">
        <v>8.7500000000000008E-3</v>
      </c>
      <c r="F212">
        <v>4.5830000000000003E-3</v>
      </c>
      <c r="G212">
        <v>-5.0000000000000001E-3</v>
      </c>
      <c r="H212">
        <v>7.4999999999999997E-3</v>
      </c>
      <c r="I212">
        <v>-9.1669999999999998E-3</v>
      </c>
      <c r="J212">
        <v>0.03</v>
      </c>
    </row>
    <row r="213" spans="1:10" x14ac:dyDescent="0.3">
      <c r="A213">
        <v>4.9583000000000002E-2</v>
      </c>
      <c r="B213">
        <v>4.7917000000000001E-2</v>
      </c>
      <c r="C213">
        <v>1.3332999999999999E-2</v>
      </c>
      <c r="D213">
        <v>3.5832999999999997E-2</v>
      </c>
      <c r="E213">
        <v>5.0000000000000001E-3</v>
      </c>
      <c r="F213">
        <v>1.0416999999999999E-2</v>
      </c>
      <c r="G213">
        <v>1.7500000000000002E-2</v>
      </c>
      <c r="H213">
        <v>1.2917E-2</v>
      </c>
      <c r="I213">
        <v>-4.1669999999999997E-3</v>
      </c>
      <c r="J213">
        <v>5.2499999999999998E-2</v>
      </c>
    </row>
    <row r="214" spans="1:10" x14ac:dyDescent="0.3">
      <c r="A214">
        <v>7.4999999999999997E-2</v>
      </c>
      <c r="B214">
        <v>7.1249999999999994E-2</v>
      </c>
      <c r="C214">
        <v>4.4999999999999998E-2</v>
      </c>
      <c r="D214">
        <v>7.4582999999999997E-2</v>
      </c>
      <c r="E214">
        <v>2.1666999999999999E-2</v>
      </c>
      <c r="F214">
        <v>2.4583000000000001E-2</v>
      </c>
      <c r="G214">
        <v>2.1666999999999999E-2</v>
      </c>
      <c r="H214">
        <v>1.4583E-2</v>
      </c>
      <c r="I214">
        <v>7.4999999999999997E-3</v>
      </c>
      <c r="J214">
        <v>0.06</v>
      </c>
    </row>
  </sheetData>
  <sortState xmlns:xlrd2="http://schemas.microsoft.com/office/spreadsheetml/2017/richdata2" ref="Y78:AB82">
    <sortCondition descending="1" ref="Y78:Y82"/>
  </sortState>
  <mergeCells count="1">
    <mergeCell ref="G80:I80"/>
  </mergeCells>
  <phoneticPr fontId="2" type="noConversion"/>
  <conditionalFormatting sqref="N33">
    <cfRule type="colorScale" priority="22">
      <colorScale>
        <cfvo type="num" val="-0.1"/>
        <cfvo type="num" val="0"/>
        <cfvo type="num" val="0.1"/>
        <color rgb="FF00B0F0"/>
        <color theme="0"/>
        <color rgb="FFFF0000"/>
      </colorScale>
    </cfRule>
  </conditionalFormatting>
  <conditionalFormatting sqref="N34">
    <cfRule type="colorScale" priority="21">
      <colorScale>
        <cfvo type="num" val="-0.1"/>
        <cfvo type="num" val="0"/>
        <cfvo type="num" val="0.1"/>
        <color rgb="FF00B0F0"/>
        <color theme="0"/>
        <color rgb="FFFF0000"/>
      </colorScale>
    </cfRule>
  </conditionalFormatting>
  <conditionalFormatting sqref="N35">
    <cfRule type="colorScale" priority="20">
      <colorScale>
        <cfvo type="num" val="-0.1"/>
        <cfvo type="num" val="0"/>
        <cfvo type="num" val="0.1"/>
        <color rgb="FF00B0F0"/>
        <color theme="0"/>
        <color rgb="FFFF0000"/>
      </colorScale>
    </cfRule>
  </conditionalFormatting>
  <conditionalFormatting sqref="R34">
    <cfRule type="colorScale" priority="19">
      <colorScale>
        <cfvo type="num" val="-0.1"/>
        <cfvo type="num" val="0"/>
        <cfvo type="num" val="0.1"/>
        <color rgb="FF00B0F0"/>
        <color theme="0"/>
        <color rgb="FFFF0000"/>
      </colorScale>
    </cfRule>
  </conditionalFormatting>
  <conditionalFormatting sqref="N36:N39">
    <cfRule type="colorScale" priority="18">
      <colorScale>
        <cfvo type="num" val="-0.1"/>
        <cfvo type="num" val="0"/>
        <cfvo type="num" val="0.1"/>
        <color rgb="FF00B0F0"/>
        <color theme="0"/>
        <color rgb="FFFF0000"/>
      </colorScale>
    </cfRule>
  </conditionalFormatting>
  <conditionalFormatting sqref="R36:R38">
    <cfRule type="colorScale" priority="17">
      <colorScale>
        <cfvo type="num" val="-0.1"/>
        <cfvo type="num" val="0"/>
        <cfvo type="num" val="0.1"/>
        <color rgb="FF00B0F0"/>
        <color theme="0"/>
        <color rgb="FFFF0000"/>
      </colorScale>
    </cfRule>
  </conditionalFormatting>
  <conditionalFormatting sqref="N40:N41">
    <cfRule type="colorScale" priority="16">
      <colorScale>
        <cfvo type="num" val="-0.1"/>
        <cfvo type="num" val="0"/>
        <cfvo type="num" val="0.1"/>
        <color rgb="FF00B0F0"/>
        <color theme="0"/>
        <color rgb="FFFF0000"/>
      </colorScale>
    </cfRule>
  </conditionalFormatting>
  <conditionalFormatting sqref="G81:I83">
    <cfRule type="colorScale" priority="14">
      <colorScale>
        <cfvo type="num" val="-0.25"/>
        <cfvo type="num" val="0"/>
        <cfvo type="num" val="0.2"/>
        <color rgb="FF00B0F0"/>
        <color theme="0"/>
        <color rgb="FFFF0000"/>
      </colorScale>
    </cfRule>
  </conditionalFormatting>
  <conditionalFormatting sqref="C99:L108">
    <cfRule type="colorScale" priority="12">
      <colorScale>
        <cfvo type="num" val="-0.15"/>
        <cfvo type="num" val="0"/>
        <cfvo type="num" val="0.15"/>
        <color rgb="FF00B0F0"/>
        <color theme="0"/>
        <color rgb="FFFF0000"/>
      </colorScale>
    </cfRule>
  </conditionalFormatting>
  <conditionalFormatting sqref="C115:L124">
    <cfRule type="colorScale" priority="11">
      <colorScale>
        <cfvo type="num" val="-0.15"/>
        <cfvo type="num" val="0"/>
        <cfvo type="num" val="0.15"/>
        <color rgb="FF00B0F0"/>
        <color theme="0"/>
        <color rgb="FFFF0000"/>
      </colorScale>
    </cfRule>
  </conditionalFormatting>
  <conditionalFormatting sqref="C130:L139">
    <cfRule type="colorScale" priority="10">
      <colorScale>
        <cfvo type="num" val="-0.15"/>
        <cfvo type="num" val="0"/>
        <cfvo type="num" val="0.15"/>
        <color rgb="FF00B0F0"/>
        <color theme="0"/>
        <color rgb="FFFF0000"/>
      </colorScale>
    </cfRule>
  </conditionalFormatting>
  <conditionalFormatting sqref="C145:L154">
    <cfRule type="colorScale" priority="9">
      <colorScale>
        <cfvo type="num" val="-0.15"/>
        <cfvo type="num" val="0"/>
        <cfvo type="num" val="0.15"/>
        <color rgb="FF00B0F0"/>
        <color theme="0"/>
        <color rgb="FFFF0000"/>
      </colorScale>
    </cfRule>
  </conditionalFormatting>
  <conditionalFormatting sqref="C159:L168">
    <cfRule type="colorScale" priority="8">
      <colorScale>
        <cfvo type="num" val="-0.15"/>
        <cfvo type="num" val="0"/>
        <cfvo type="num" val="0.15"/>
        <color rgb="FF00B0F0"/>
        <color theme="0"/>
        <color rgb="FFFF0000"/>
      </colorScale>
    </cfRule>
  </conditionalFormatting>
  <conditionalFormatting sqref="C176:L185">
    <cfRule type="colorScale" priority="7">
      <colorScale>
        <cfvo type="num" val="-0.15"/>
        <cfvo type="num" val="0"/>
        <cfvo type="num" val="0.15"/>
        <color rgb="FF00B0F0"/>
        <color theme="0"/>
        <color rgb="FFFF0000"/>
      </colorScale>
    </cfRule>
  </conditionalFormatting>
  <conditionalFormatting sqref="C191:L200">
    <cfRule type="colorScale" priority="6">
      <colorScale>
        <cfvo type="num" val="-0.15"/>
        <cfvo type="num" val="0"/>
        <cfvo type="num" val="0.15"/>
        <color rgb="FF00B0F0"/>
        <color theme="0"/>
        <color rgb="FFFF0000"/>
      </colorScale>
    </cfRule>
  </conditionalFormatting>
  <conditionalFormatting sqref="Q74">
    <cfRule type="colorScale" priority="5">
      <colorScale>
        <cfvo type="num" val="-0.1"/>
        <cfvo type="num" val="0"/>
        <cfvo type="num" val="0.1"/>
        <color rgb="FF00B0F0"/>
        <color theme="0"/>
        <color rgb="FFFF0000"/>
      </colorScale>
    </cfRule>
  </conditionalFormatting>
  <conditionalFormatting sqref="R74:T74">
    <cfRule type="colorScale" priority="4">
      <colorScale>
        <cfvo type="num" val="-0.1"/>
        <cfvo type="num" val="0"/>
        <cfvo type="num" val="0.1"/>
        <color rgb="FF00B0F0"/>
        <color theme="0"/>
        <color rgb="FFFF0000"/>
      </colorScale>
    </cfRule>
  </conditionalFormatting>
  <conditionalFormatting sqref="U74">
    <cfRule type="colorScale" priority="3">
      <colorScale>
        <cfvo type="num" val="-0.1"/>
        <cfvo type="num" val="0"/>
        <cfvo type="num" val="0.1"/>
        <color rgb="FF00B0F0"/>
        <color theme="0"/>
        <color rgb="FFFF0000"/>
      </colorScale>
    </cfRule>
  </conditionalFormatting>
  <conditionalFormatting sqref="V74">
    <cfRule type="colorScale" priority="2">
      <colorScale>
        <cfvo type="num" val="-0.1"/>
        <cfvo type="num" val="0"/>
        <cfvo type="num" val="0.1"/>
        <color rgb="FF00B0F0"/>
        <color theme="0"/>
        <color rgb="FFFF0000"/>
      </colorScale>
    </cfRule>
  </conditionalFormatting>
  <conditionalFormatting sqref="W74">
    <cfRule type="colorScale" priority="1">
      <colorScale>
        <cfvo type="num" val="-0.1"/>
        <cfvo type="num" val="0"/>
        <cfvo type="num" val="0.1"/>
        <color rgb="FF00B0F0"/>
        <color theme="0"/>
        <color rgb="FFFF0000"/>
      </colorScale>
    </cfRule>
  </conditionalFormatting>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nozzle&amp;probe_points</vt:lpstr>
      <vt:lpstr>z_tramming_Calc</vt:lpstr>
      <vt:lpstr>Final_Mesh_022625</vt:lpstr>
      <vt:lpstr>Calc_real</vt:lpstr>
      <vt:lpstr>'nozzle&amp;probe_points'!Extract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Gary Dyrkacz</dc:creator>
  <cp:lastModifiedBy>Gary Dyrkacz</cp:lastModifiedBy>
  <dcterms:created xsi:type="dcterms:W3CDTF">2025-01-08T14:57:04Z</dcterms:created>
  <dcterms:modified xsi:type="dcterms:W3CDTF">2025-03-18T18:37:27Z</dcterms:modified>
</cp:coreProperties>
</file>